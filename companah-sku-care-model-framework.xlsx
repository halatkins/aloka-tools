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artner Care Menu" sheetId="2" state="visible" r:id="rId4"/>
    <sheet name="Partner Pricing Matrix" sheetId="3" state="visible" r:id="rId5"/>
    <sheet name="Partner Care Types" sheetId="4" state="visible" r:id="rId6"/>
    <sheet name="Shared Care Menu" sheetId="5" state="visible" r:id="rId7"/>
    <sheet name="Direct Care Menu" sheetId="6" state="visible" r:id="rId8"/>
    <sheet name="Care Model Comparison" sheetId="7" state="visible" r:id="rId9"/>
    <sheet name="Supabase Schema Impact" sheetId="8" state="visible" r:id="rId10"/>
    <sheet name="QBO Cleanup Plan" sheetId="9" state="visible" r:id="rId11"/>
    <sheet name="Master SKU Li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<sst xmlns="http://schemas.openxmlformats.org/spreadsheetml/2006/main" count="1488" uniqueCount="697">
  <si>
    <t xml:space="preserve">COMPANAH — SKU &amp; CARE MODEL FRAMEWORK (v2)</t>
  </si>
  <si>
    <t xml:space="preserve">THE THREE CARE MODELS</t>
  </si>
  <si>
    <t xml:space="preserve">Care Model</t>
  </si>
  <si>
    <t xml:space="preserve">Description</t>
  </si>
  <si>
    <t xml:space="preserve">Who Pays for Cremation</t>
  </si>
  <si>
    <t xml:space="preserve">Who Pays for Memorials/Upgrades</t>
  </si>
  <si>
    <t xml:space="preserve">Direct Care (B2C)</t>
  </si>
  <si>
    <t xml:space="preserve">Pet owner contacts Companah directly. Full retail pricing with size tiers. Owner makes all choices and pays for everything.</t>
  </si>
  <si>
    <t xml:space="preserve">Owner (retail, size-tiered)</t>
  </si>
  <si>
    <t xml:space="preserve">Owner (retail)</t>
  </si>
  <si>
    <t xml:space="preserve">Partner Care (B2B)</t>
  </si>
  <si>
    <t xml:space="preserve">Vet partner refers pet. Vet is billed a flat wholesale rate for cremation and any add-ons. Owner may not interact with Companah directly.</t>
  </si>
  <si>
    <t xml:space="preserve">Vet Partner (flat wholesale rate)</t>
  </si>
  <si>
    <t xml:space="preserve">Vet Partner (wholesale)</t>
  </si>
  <si>
    <t xml:space="preserve">Shared Care (Hybrid)</t>
  </si>
  <si>
    <t xml:space="preserve">Vet partner refers pet and pays wholesale for cremation. Companah sends a care plan to the owner who can choose upgrades and memorials at retail.</t>
  </si>
  <si>
    <t xml:space="preserve">Owner (retail via care plan)</t>
  </si>
  <si>
    <t xml:space="preserve">SKU ARCHITECTURE (simplified — no WC prefix since water cremation is all we do)</t>
  </si>
  <si>
    <t xml:space="preserve">Format</t>
  </si>
  <si>
    <t xml:space="preserve">Example</t>
  </si>
  <si>
    <t xml:space="preserve">Meaning</t>
  </si>
  <si>
    <t xml:space="preserve">[Service]-[Size]-[Variant]</t>
  </si>
  <si>
    <t xml:space="preserve">IND-SM</t>
  </si>
  <si>
    <t xml:space="preserve">Individual Cremation, Small</t>
  </si>
  <si>
    <t xml:space="preserve">[PARTNER]-[Service SKU]</t>
  </si>
  <si>
    <t xml:space="preserve">LOVT-IND-FLAT-TOL-MD</t>
  </si>
  <si>
    <t xml:space="preserve">LOVT partner, Individual, Flat Rate, TOL Urn, Medium</t>
  </si>
  <si>
    <t xml:space="preserve">CATEGORY CODES</t>
  </si>
  <si>
    <t xml:space="preserve">Code</t>
  </si>
  <si>
    <t xml:space="preserve">Category</t>
  </si>
  <si>
    <t xml:space="preserve">Used In</t>
  </si>
  <si>
    <t xml:space="preserve">IND</t>
  </si>
  <si>
    <t xml:space="preserve">Individual Cremation</t>
  </si>
  <si>
    <t xml:space="preserve">All care models</t>
  </si>
  <si>
    <t xml:space="preserve">COM</t>
  </si>
  <si>
    <t xml:space="preserve">Communal Cremation</t>
  </si>
  <si>
    <t xml:space="preserve">URN</t>
  </si>
  <si>
    <t xml:space="preserve">Urns &amp; Vessels</t>
  </si>
  <si>
    <t xml:space="preserve">Direct Care, Shared Care (owner upgrades)</t>
  </si>
  <si>
    <t xml:space="preserve">MEM</t>
  </si>
  <si>
    <t xml:space="preserve">Memorials &amp; Keepsakes</t>
  </si>
  <si>
    <t xml:space="preserve">SVC</t>
  </si>
  <si>
    <t xml:space="preserve">Ancillary Services</t>
  </si>
  <si>
    <t xml:space="preserve">PKG</t>
  </si>
  <si>
    <t xml:space="preserve">Packages / Bundles</t>
  </si>
  <si>
    <t xml:space="preserve">Direct Care primarily</t>
  </si>
  <si>
    <t xml:space="preserve">SIZE TIERS</t>
  </si>
  <si>
    <t xml:space="preserve">Weight Range</t>
  </si>
  <si>
    <t xml:space="preserve">PP</t>
  </si>
  <si>
    <t xml:space="preserve">Pocket Pet</t>
  </si>
  <si>
    <t xml:space="preserve">Under 5 lbs</t>
  </si>
  <si>
    <t xml:space="preserve">All models</t>
  </si>
  <si>
    <t xml:space="preserve">XS</t>
  </si>
  <si>
    <t xml:space="preserve">Extra Small</t>
  </si>
  <si>
    <t xml:space="preserve">Up to 30 lbs</t>
  </si>
  <si>
    <t xml:space="preserve">Direct Care (size-tiered)</t>
  </si>
  <si>
    <t xml:space="preserve">SM</t>
  </si>
  <si>
    <t xml:space="preserve">Small</t>
  </si>
  <si>
    <t xml:space="preserve">31-50 lbs</t>
  </si>
  <si>
    <t xml:space="preserve">Direct Care + Urn sizing</t>
  </si>
  <si>
    <t xml:space="preserve">MD</t>
  </si>
  <si>
    <t xml:space="preserve">Medium</t>
  </si>
  <si>
    <t xml:space="preserve">51-70 lbs</t>
  </si>
  <si>
    <t xml:space="preserve">LG</t>
  </si>
  <si>
    <t xml:space="preserve">Large</t>
  </si>
  <si>
    <t xml:space="preserve">71-100 lbs</t>
  </si>
  <si>
    <t xml:space="preserve">XL</t>
  </si>
  <si>
    <t xml:space="preserve">Extra Large</t>
  </si>
  <si>
    <t xml:space="preserve">101-120 lbs</t>
  </si>
  <si>
    <t xml:space="preserve">XXL</t>
  </si>
  <si>
    <t xml:space="preserve">Over 120 lbs</t>
  </si>
  <si>
    <t xml:space="preserve">121-150 lbs</t>
  </si>
  <si>
    <t xml:space="preserve">FLAT</t>
  </si>
  <si>
    <t xml:space="preserve">Flat Rate (no size tier)</t>
  </si>
  <si>
    <t xml:space="preserve">Up to 125 lbs</t>
  </si>
  <si>
    <t xml:space="preserve">Partner Care, Shared Care</t>
  </si>
  <si>
    <t xml:space="preserve">KEY INSIGHTS</t>
  </si>
  <si>
    <t xml:space="preserve">No WC prefix needed — water cremation is all Companah does. Keeps every SKU shorter and cleaner.</t>
  </si>
  <si>
    <t xml:space="preserve">Bundled partner SKUs now include urn size (e.g., IND-FLAT-TOL-SM) for inventory tracking even though price doesn't vary by size.</t>
  </si>
  <si>
    <t xml:space="preserve">Partner Care &amp; Shared Care use FLAT rate pricing — one price for individual or communal up to 125 lbs, plus $25 surcharge over 125 lbs.</t>
  </si>
  <si>
    <t xml:space="preserve">Direct Care uses SIZE-TIERED pricing — different rate per weight bracket (PP thru XXL).</t>
  </si>
  <si>
    <t xml:space="preserve">Shared Care splits billing — cremation invoiced to vet at wholesale flat rate, memorial items invoiced to owner at retail.</t>
  </si>
  <si>
    <t xml:space="preserve">QBO ITEM COUNT MATH</t>
  </si>
  <si>
    <t xml:space="preserve">Component</t>
  </si>
  <si>
    <t xml:space="preserve">Count</t>
  </si>
  <si>
    <t xml:space="preserve">Explanation</t>
  </si>
  <si>
    <t xml:space="preserve">Direct Care SKUs</t>
  </si>
  <si>
    <t xml:space="preserve">~43</t>
  </si>
  <si>
    <t xml:space="preserve">Size-tiered cremation + urns + memorials + services (one set, universal pricing)</t>
  </si>
  <si>
    <t xml:space="preserve">Base Partner Services</t>
  </si>
  <si>
    <t xml:space="preserve">~22</t>
  </si>
  <si>
    <t xml:space="preserve">Flat-rate cremation combos (now with sized urn variants) + add-ons</t>
  </si>
  <si>
    <t xml:space="preserve">Active Partners (est.)</t>
  </si>
  <si>
    <t xml:space="preserve">~60</t>
  </si>
  <si>
    <t xml:space="preserve">Of the 105 total partner codes, many are inactive/retired</t>
  </si>
  <si>
    <t xml:space="preserve">Avg Services per Partner</t>
  </si>
  <si>
    <t xml:space="preserve">~10</t>
  </si>
  <si>
    <t xml:space="preserve">Most partners use 8-12 of the available services</t>
  </si>
  <si>
    <t xml:space="preserve">Partner-Specific QBO Items</t>
  </si>
  <si>
    <t xml:space="preserve">~600</t>
  </si>
  <si>
    <t xml:space="preserve">60 partners × 10 services each = ~600 partner-prefixed items</t>
  </si>
  <si>
    <t xml:space="preserve">Shared Care Owner Items</t>
  </si>
  <si>
    <t xml:space="preserve">~25</t>
  </si>
  <si>
    <t xml:space="preserve">Urns + memorials + delivery billed to owner at retail</t>
  </si>
  <si>
    <t xml:space="preserve">TOTAL QBO ITEMS</t>
  </si>
  <si>
    <t xml:space="preserve">~670</t>
  </si>
  <si>
    <t xml:space="preserve">Down from 862 — cleaner, standardized, and every item has a SKU</t>
  </si>
  <si>
    <t xml:space="preserve">SUPABASE SCHEMA IMPACT</t>
  </si>
  <si>
    <t xml:space="preserve">Table</t>
  </si>
  <si>
    <t xml:space="preserve">Purpose</t>
  </si>
  <si>
    <t xml:space="preserve">Care Model Impact</t>
  </si>
  <si>
    <t xml:space="preserve">orders.orders</t>
  </si>
  <si>
    <t xml:space="preserve">Core order record</t>
  </si>
  <si>
    <t xml:space="preserve">New care_type field: direct | partner | shared</t>
  </si>
  <si>
    <t xml:space="preserve">pricing.products</t>
  </si>
  <si>
    <t xml:space="preserve">Standardized service catalog (~80 SKUs)</t>
  </si>
  <si>
    <t xml:space="preserve">SKUs used across all care types</t>
  </si>
  <si>
    <t xml:space="preserve">pricing.partner_rates</t>
  </si>
  <si>
    <t xml:space="preserve">Partner-specific flat-rate pricing</t>
  </si>
  <si>
    <t xml:space="preserve">Drives Partner Care &amp; Shared Care cremation billing</t>
  </si>
  <si>
    <t xml:space="preserve">pricing.direct_rates</t>
  </si>
  <si>
    <t xml:space="preserve">Size-tiered retail pricing</t>
  </si>
  <si>
    <t xml:space="preserve">Drives Direct Care &amp; Shared Care memorial billing</t>
  </si>
  <si>
    <t xml:space="preserve">billing.invoices</t>
  </si>
  <si>
    <t xml:space="preserve">Invoice records</t>
  </si>
  <si>
    <t xml:space="preserve">Shared Care generates TWO invoices per order (vet + owner)</t>
  </si>
  <si>
    <t xml:space="preserve">orders.care_plans</t>
  </si>
  <si>
    <t xml:space="preserve">Owner engagement &amp; choices</t>
  </si>
  <si>
    <t xml:space="preserve">Critical for Shared Care — owner selects upgrades here</t>
  </si>
  <si>
    <t xml:space="preserve">STANDARD VET PARTNER MENU — Partner Care (B2B)</t>
  </si>
  <si>
    <t xml:space="preserve">Flat-rate pricing. All items billed to vet partner. No cremation size tiers (up to 125 lbs). Urn-bundled SKUs now include urn size for inventory.</t>
  </si>
  <si>
    <t xml:space="preserve">#</t>
  </si>
  <si>
    <t xml:space="preserve">Service SKU</t>
  </si>
  <si>
    <t xml:space="preserve">QBO Product Name Pattern</t>
  </si>
  <si>
    <t xml:space="preserve">Billing Party</t>
  </si>
  <si>
    <t xml:space="preserve">Notes</t>
  </si>
  <si>
    <t xml:space="preserve">IND-FLAT</t>
  </si>
  <si>
    <t xml:space="preserve">[PARTNER] - Individual</t>
  </si>
  <si>
    <t xml:space="preserve">Individual cremation, flat rate up to 125 lbs</t>
  </si>
  <si>
    <t xml:space="preserve">Vet Partner</t>
  </si>
  <si>
    <t xml:space="preserve">Core service — no urn included</t>
  </si>
  <si>
    <t xml:space="preserve">IND-FLAT-PAW</t>
  </si>
  <si>
    <t xml:space="preserve">[PARTNER] - Individual + Paw</t>
  </si>
  <si>
    <t xml:space="preserve">Individual cremation with clay paw print</t>
  </si>
  <si>
    <t xml:space="preserve">Most common combo</t>
  </si>
  <si>
    <t xml:space="preserve">IND-FLAT-TOL-SM</t>
  </si>
  <si>
    <t xml:space="preserve">[PARTNER] - Individual TOL (SM)</t>
  </si>
  <si>
    <t xml:space="preserve">Individual + Tree of Life urn, small</t>
  </si>
  <si>
    <t xml:space="preserve">Same price regardless of urn size</t>
  </si>
  <si>
    <t xml:space="preserve">IND-FLAT-TOL-MD</t>
  </si>
  <si>
    <t xml:space="preserve">[PARTNER] - Individual TOL (MD)</t>
  </si>
  <si>
    <t xml:space="preserve">Individual + Tree of Life urn, medium</t>
  </si>
  <si>
    <t xml:space="preserve">IND-FLAT-TOL-LG</t>
  </si>
  <si>
    <t xml:space="preserve">[PARTNER] - Individual TOL (LG)</t>
  </si>
  <si>
    <t xml:space="preserve">Individual + Tree of Life urn, large</t>
  </si>
  <si>
    <t xml:space="preserve">IND-FLAT-TOL-SM-PAW</t>
  </si>
  <si>
    <t xml:space="preserve">[PARTNER] - Individual TOL (SM) + Paw</t>
  </si>
  <si>
    <t xml:space="preserve">Individual + TOL urn small + paw print</t>
  </si>
  <si>
    <t xml:space="preserve">Premium combo</t>
  </si>
  <si>
    <t xml:space="preserve">IND-FLAT-TOL-MD-PAW</t>
  </si>
  <si>
    <t xml:space="preserve">[PARTNER] - Individual TOL (MD) + Paw</t>
  </si>
  <si>
    <t xml:space="preserve">Individual + TOL urn medium + paw print</t>
  </si>
  <si>
    <t xml:space="preserve">IND-FLAT-TOL-LG-PAW</t>
  </si>
  <si>
    <t xml:space="preserve">[PARTNER] - Individual TOL (LG) + Paw</t>
  </si>
  <si>
    <t xml:space="preserve">Individual + TOL urn large + paw print</t>
  </si>
  <si>
    <t xml:space="preserve">IND-FLAT-MDF-SM</t>
  </si>
  <si>
    <t xml:space="preserve">[PARTNER] - Individual MDF (SM)</t>
  </si>
  <si>
    <t xml:space="preserve">Individual + MDF urn, small</t>
  </si>
  <si>
    <t xml:space="preserve">Budget urn option</t>
  </si>
  <si>
    <t xml:space="preserve">IND-FLAT-MDF-MD</t>
  </si>
  <si>
    <t xml:space="preserve">[PARTNER] - Individual MDF (MD)</t>
  </si>
  <si>
    <t xml:space="preserve">Individual + MDF urn, medium</t>
  </si>
  <si>
    <t xml:space="preserve">IND-FLAT-MDF-LG</t>
  </si>
  <si>
    <t xml:space="preserve">[PARTNER] - Individual MDF (LG)</t>
  </si>
  <si>
    <t xml:space="preserve">Individual + MDF urn, large</t>
  </si>
  <si>
    <t xml:space="preserve">COM-FLAT</t>
  </si>
  <si>
    <t xml:space="preserve">[PARTNER] - Communal</t>
  </si>
  <si>
    <t xml:space="preserve">Communal cremation, flat rate</t>
  </si>
  <si>
    <t xml:space="preserve">No remains returned</t>
  </si>
  <si>
    <t xml:space="preserve">COM-FLAT-PAW</t>
  </si>
  <si>
    <t xml:space="preserve">[PARTNER] - Communal + Paw</t>
  </si>
  <si>
    <t xml:space="preserve">Communal cremation with paw print</t>
  </si>
  <si>
    <t xml:space="preserve">Paw taken before communal</t>
  </si>
  <si>
    <t xml:space="preserve">IND-PP</t>
  </si>
  <si>
    <t xml:space="preserve">[PARTNER] - PP Individual</t>
  </si>
  <si>
    <t xml:space="preserve">Pocket pet individual cremation</t>
  </si>
  <si>
    <t xml:space="preserve">COM-PP</t>
  </si>
  <si>
    <t xml:space="preserve">[PARTNER] - PP Communal</t>
  </si>
  <si>
    <t xml:space="preserve">Pocket pet communal cremation</t>
  </si>
  <si>
    <t xml:space="preserve">MEM-PAW-STD</t>
  </si>
  <si>
    <t xml:space="preserve">[PARTNER] - Paw Print</t>
  </si>
  <si>
    <t xml:space="preserve">Additional / standalone paw print</t>
  </si>
  <si>
    <t xml:space="preserve">Add-on to any service</t>
  </si>
  <si>
    <t xml:space="preserve">SVC-SURCHG-125</t>
  </si>
  <si>
    <t xml:space="preserve">[PARTNER] - 125# Surcharge</t>
  </si>
  <si>
    <t xml:space="preserve">$25 surcharge for pets over 125 lbs</t>
  </si>
  <si>
    <t xml:space="preserve">Applied when weight &gt; 125 lbs</t>
  </si>
  <si>
    <t xml:space="preserve">SVC-STAFF</t>
  </si>
  <si>
    <t xml:space="preserve">[PARTNER] - Staff Pet</t>
  </si>
  <si>
    <t xml:space="preserve">Discounted rate for clinic staff personal pets</t>
  </si>
  <si>
    <t xml:space="preserve">Partner benefit</t>
  </si>
  <si>
    <t xml:space="preserve">MEM-ONLY</t>
  </si>
  <si>
    <t xml:space="preserve">[PARTNER] - Memorials Only</t>
  </si>
  <si>
    <t xml:space="preserve">Memorial items without cremation service</t>
  </si>
  <si>
    <t xml:space="preserve">Standalone memorial order</t>
  </si>
  <si>
    <t xml:space="preserve">OPTIONAL ADD-ONS (not all partners offer these)</t>
  </si>
  <si>
    <t xml:space="preserve">SVC-DLVR-LOC</t>
  </si>
  <si>
    <t xml:space="preserve">[PARTNER] - Local Delivery</t>
  </si>
  <si>
    <t xml:space="preserve">Delivery to owner within local area</t>
  </si>
  <si>
    <t xml:space="preserve">SVC-DLVR-EXT</t>
  </si>
  <si>
    <t xml:space="preserve">[PARTNER] - Extended Delivery</t>
  </si>
  <si>
    <t xml:space="preserve">Delivery outside local area</t>
  </si>
  <si>
    <t xml:space="preserve">SVC-PKUP-AH</t>
  </si>
  <si>
    <t xml:space="preserve">[PARTNER] - After Hours Pickup</t>
  </si>
  <si>
    <t xml:space="preserve">Pickup from clinic after hours</t>
  </si>
  <si>
    <t xml:space="preserve">Premium charge</t>
  </si>
  <si>
    <t xml:space="preserve">MEM-INK</t>
  </si>
  <si>
    <t xml:space="preserve">[PARTNER] - Ink Print</t>
  </si>
  <si>
    <t xml:space="preserve">Ink paw/nose print</t>
  </si>
  <si>
    <t xml:space="preserve">MEM-FUR</t>
  </si>
  <si>
    <t xml:space="preserve">[PARTNER] - Fur Clipping</t>
  </si>
  <si>
    <t xml:space="preserve">Lock of fur preservation</t>
  </si>
  <si>
    <t xml:space="preserve">EXAMPLE: LOVT (before → after)</t>
  </si>
  <si>
    <t xml:space="preserve">Current QBO Name</t>
  </si>
  <si>
    <t xml:space="preserve">Standardized QBO Name</t>
  </si>
  <si>
    <t xml:space="preserve">New SKU</t>
  </si>
  <si>
    <t xml:space="preserve">Action</t>
  </si>
  <si>
    <t xml:space="preserve">LOVT - Private MDF</t>
  </si>
  <si>
    <t xml:space="preserve">LOVT - Individual MDF (SM)</t>
  </si>
  <si>
    <t xml:space="preserve">LOVT-IND-FLAT-MDF-SM</t>
  </si>
  <si>
    <t xml:space="preserve">Rename + add SKU + specify size</t>
  </si>
  <si>
    <t xml:space="preserve">LOVT - Individual MDF (MD)</t>
  </si>
  <si>
    <t xml:space="preserve">LOVT-IND-FLAT-MDF-MD</t>
  </si>
  <si>
    <t xml:space="preserve">Create new for medium</t>
  </si>
  <si>
    <t xml:space="preserve">LOVT - Individual MDF (LG)</t>
  </si>
  <si>
    <t xml:space="preserve">LOVT-IND-FLAT-MDF-LG</t>
  </si>
  <si>
    <t xml:space="preserve">Create new for large</t>
  </si>
  <si>
    <t xml:space="preserve">LOVT - Communal</t>
  </si>
  <si>
    <t xml:space="preserve">LOVT-COM-FLAT</t>
  </si>
  <si>
    <t xml:space="preserve">Add SKU</t>
  </si>
  <si>
    <t xml:space="preserve">LOVT - Private</t>
  </si>
  <si>
    <t xml:space="preserve">LOVT - Individual</t>
  </si>
  <si>
    <t xml:space="preserve">LOVT-IND-FLAT</t>
  </si>
  <si>
    <t xml:space="preserve">Rename + add SKU</t>
  </si>
  <si>
    <t xml:space="preserve">LOVT - Private + paw</t>
  </si>
  <si>
    <t xml:space="preserve">LOVT - Individual + Paw</t>
  </si>
  <si>
    <t xml:space="preserve">LOVT-IND-FLAT-PAW</t>
  </si>
  <si>
    <t xml:space="preserve">NOTE: Urn-bundled SKUs (TOL, MDF) now have SM/MD/LG variants. Price to the vet is the same across sizes —</t>
  </si>
  <si>
    <t xml:space="preserve">the size suffix is purely for inventory tracking so you know which urn came off the shelf.</t>
  </si>
  <si>
    <t xml:space="preserve">PARTNER PRICING MATRIX — Rate Card by Partner</t>
  </si>
  <si>
    <t xml:space="preserve">Yellow cells = fill in each partner's rate. Price is the SAME for all urn sizes within a bundle (TOL-SM/MD/LG all cost the same).</t>
  </si>
  <si>
    <t xml:space="preserve">Each filled cell becomes a QBO line item: [PARTNER]-[Base SKU]. Urn-size variants share the same price row.</t>
  </si>
  <si>
    <t xml:space="preserve">Base SKU</t>
  </si>
  <si>
    <t xml:space="preserve">Service</t>
  </si>
  <si>
    <t xml:space="preserve">LOVT</t>
  </si>
  <si>
    <t xml:space="preserve">GJNC</t>
  </si>
  <si>
    <t xml:space="preserve">RAMV</t>
  </si>
  <si>
    <t xml:space="preserve">FHAH</t>
  </si>
  <si>
    <t xml:space="preserve">TRFV</t>
  </si>
  <si>
    <t xml:space="preserve">CARY</t>
  </si>
  <si>
    <t xml:space="preserve">APEX</t>
  </si>
  <si>
    <t xml:space="preserve">CHPL</t>
  </si>
  <si>
    <t xml:space="preserve">DURH</t>
  </si>
  <si>
    <t xml:space="preserve">RLGH</t>
  </si>
  <si>
    <t xml:space="preserve">SNFD</t>
  </si>
  <si>
    <t xml:space="preserve">GRNB</t>
  </si>
  <si>
    <t xml:space="preserve">WILM</t>
  </si>
  <si>
    <t xml:space="preserve">ASHV</t>
  </si>
  <si>
    <t xml:space="preserve">CHRL</t>
  </si>
  <si>
    <t xml:space="preserve">WAKE</t>
  </si>
  <si>
    <t xml:space="preserve">PITB</t>
  </si>
  <si>
    <t xml:space="preserve">CNCD</t>
  </si>
  <si>
    <t xml:space="preserve">KNPL</t>
  </si>
  <si>
    <t xml:space="preserve">HLSB</t>
  </si>
  <si>
    <t xml:space="preserve">... (add more)</t>
  </si>
  <si>
    <t xml:space="preserve">Individual (no urn)</t>
  </si>
  <si>
    <t xml:space="preserve">Individual + Paw</t>
  </si>
  <si>
    <t xml:space="preserve">IND-FLAT-TOL-*</t>
  </si>
  <si>
    <t xml:space="preserve">Individual + TOL Urn (SM/MD/LG)</t>
  </si>
  <si>
    <t xml:space="preserve">Same rate for all sizes — 3 QBO items per partner</t>
  </si>
  <si>
    <t xml:space="preserve">IND-FLAT-TOL-*-PAW</t>
  </si>
  <si>
    <t xml:space="preserve">Individual + TOL + Paw (SM/MD/LG)</t>
  </si>
  <si>
    <t xml:space="preserve">IND-FLAT-MDF-*</t>
  </si>
  <si>
    <t xml:space="preserve">Individual + MDF Urn (SM/MD/LG)</t>
  </si>
  <si>
    <t xml:space="preserve">Communal</t>
  </si>
  <si>
    <t xml:space="preserve">Communal + Paw</t>
  </si>
  <si>
    <t xml:space="preserve">PP Individual</t>
  </si>
  <si>
    <t xml:space="preserve">PP Communal</t>
  </si>
  <si>
    <t xml:space="preserve">Paw Print (standalone)</t>
  </si>
  <si>
    <t xml:space="preserve">125# Surcharge</t>
  </si>
  <si>
    <t xml:space="preserve">Staff Pet</t>
  </si>
  <si>
    <t xml:space="preserve">Memorials Only</t>
  </si>
  <si>
    <t xml:space="preserve">— OPTIONAL ADD-ONS —</t>
  </si>
  <si>
    <t xml:space="preserve">Local Delivery</t>
  </si>
  <si>
    <t xml:space="preserve">Extended Delivery</t>
  </si>
  <si>
    <t xml:space="preserve">After Hours Pickup</t>
  </si>
  <si>
    <t xml:space="preserve">Ink Print</t>
  </si>
  <si>
    <t xml:space="preserve">Fur Clipping</t>
  </si>
  <si>
    <t xml:space="preserve">HOW URN-SIZE VARIANTS WORK IN THIS MATRIX</t>
  </si>
  <si>
    <t xml:space="preserve">Rows marked with * (e.g., IND-FLAT-TOL-*) represent a single PRICE that applies to all urn sizes.</t>
  </si>
  <si>
    <t xml:space="preserve">When building QBO items, each * row generates 3 items per partner: [PARTNER]-IND-FLAT-TOL-SM, -MD, -LG — all at the same rate.</t>
  </si>
  <si>
    <t xml:space="preserve">This means a partner offering the TOL bundle gets 3 QBO items (SM, MD, LG) but you only set the price once here.</t>
  </si>
  <si>
    <t xml:space="preserve">Example: If LOVT's IND-FLAT-TOL-* rate is $275, then LOVT-IND-FLAT-TOL-SM, LOVT-IND-FLAT-TOL-MD, and LOVT-IND-FLAT-TOL-LG are all $275.</t>
  </si>
  <si>
    <t xml:space="preserve">PARTNER CARE TYPE ASSIGNMENT</t>
  </si>
  <si>
    <t xml:space="preserve">Assign each partner's default care model. Care type is set per ORDER so a partner can use both Partner Care and Shared Care.</t>
  </si>
  <si>
    <t xml:space="preserve">Partner Code</t>
  </si>
  <si>
    <t xml:space="preserve">Partner Name</t>
  </si>
  <si>
    <t xml:space="preserve">Default Care Model</t>
  </si>
  <si>
    <t xml:space="preserve">Status</t>
  </si>
  <si>
    <t xml:space="preserve">Offers Shared Care?</t>
  </si>
  <si>
    <t xml:space="preserve">(fill in)</t>
  </si>
  <si>
    <t xml:space="preserve">Partner Care</t>
  </si>
  <si>
    <t xml:space="preserve">Active</t>
  </si>
  <si>
    <t xml:space="preserve">No</t>
  </si>
  <si>
    <t xml:space="preserve">Shared Care</t>
  </si>
  <si>
    <t xml:space="preserve">Yes</t>
  </si>
  <si>
    <t xml:space="preserve">Pilot partner</t>
  </si>
  <si>
    <t xml:space="preserve">Inactive</t>
  </si>
  <si>
    <t xml:space="preserve">Retired</t>
  </si>
  <si>
    <t xml:space="preserve">Low Volume</t>
  </si>
  <si>
    <t xml:space="preserve">(add remaining partners)</t>
  </si>
  <si>
    <t xml:space="preserve">COLOR LEGEND</t>
  </si>
  <si>
    <t xml:space="preserve">White/Gray</t>
  </si>
  <si>
    <t xml:space="preserve">Standard Partner Care (B2B)</t>
  </si>
  <si>
    <t xml:space="preserve">Orange</t>
  </si>
  <si>
    <t xml:space="preserve">Shared Care — vet pays wholesale, owner gets care plan</t>
  </si>
  <si>
    <t xml:space="preserve">Yellow</t>
  </si>
  <si>
    <t xml:space="preserve">Low Volume — review for deactivation</t>
  </si>
  <si>
    <t xml:space="preserve">Red</t>
  </si>
  <si>
    <t xml:space="preserve">Inactive / Retired — keep for history</t>
  </si>
  <si>
    <t xml:space="preserve">SHARED CARE MENU — Hybrid (B2B + B2C)</t>
  </si>
  <si>
    <t xml:space="preserve">Vet pays wholesale flat rate for cremation. Owner receives care plan and can purchase upgrades/memorials at retail.</t>
  </si>
  <si>
    <t xml:space="preserve">VET-BILLED ITEMS (Wholesale)</t>
  </si>
  <si>
    <t xml:space="preserve">Billed To</t>
  </si>
  <si>
    <t xml:space="preserve">Pricing Model</t>
  </si>
  <si>
    <t xml:space="preserve">[PARTNER] - Individual (Shared)</t>
  </si>
  <si>
    <t xml:space="preserve">Individual cremation, flat wholesale rate</t>
  </si>
  <si>
    <t xml:space="preserve">Flat wholesale</t>
  </si>
  <si>
    <t xml:space="preserve">[PARTNER] - Communal (Shared)</t>
  </si>
  <si>
    <t xml:space="preserve">Communal cremation, flat wholesale rate</t>
  </si>
  <si>
    <t xml:space="preserve">[PARTNER] - PP Individual (Shared)</t>
  </si>
  <si>
    <t xml:space="preserve">Pocket pet individual, wholesale</t>
  </si>
  <si>
    <t xml:space="preserve">[PARTNER] - PP Communal (Shared)</t>
  </si>
  <si>
    <t xml:space="preserve">Pocket pet communal, wholesale</t>
  </si>
  <si>
    <t xml:space="preserve">Over 125 lbs surcharge</t>
  </si>
  <si>
    <t xml:space="preserve">Flat $25</t>
  </si>
  <si>
    <t xml:space="preserve">[PARTNER] - Paw Print (Shared)</t>
  </si>
  <si>
    <t xml:space="preserve">Standard paw print in partner rate</t>
  </si>
  <si>
    <t xml:space="preserve">NOTE: In Shared Care, the vet-billed cremation does NOT include an urn. The owner selects and pays for the urn via the care plan.</t>
  </si>
  <si>
    <t xml:space="preserve">OWNER-BILLED ITEMS (Retail via Care Plan)</t>
  </si>
  <si>
    <t xml:space="preserve">Care Plan Display Name</t>
  </si>
  <si>
    <t xml:space="preserve">URN-TOL-SM</t>
  </si>
  <si>
    <t xml:space="preserve">Tree of Life Urn (Small)</t>
  </si>
  <si>
    <t xml:space="preserve">Premium ceramic urn, small</t>
  </si>
  <si>
    <t xml:space="preserve">Owner</t>
  </si>
  <si>
    <t xml:space="preserve">Retail</t>
  </si>
  <si>
    <t xml:space="preserve">URN-TOL-MD</t>
  </si>
  <si>
    <t xml:space="preserve">Tree of Life Urn (Medium)</t>
  </si>
  <si>
    <t xml:space="preserve">Premium ceramic urn, medium</t>
  </si>
  <si>
    <t xml:space="preserve">URN-TOL-LG</t>
  </si>
  <si>
    <t xml:space="preserve">Tree of Life Urn (Large)</t>
  </si>
  <si>
    <t xml:space="preserve">Premium ceramic urn, large</t>
  </si>
  <si>
    <t xml:space="preserve">URN-WOD-SM</t>
  </si>
  <si>
    <t xml:space="preserve">Wood Urn (Small)</t>
  </si>
  <si>
    <t xml:space="preserve">Handcrafted wood urn, small</t>
  </si>
  <si>
    <t xml:space="preserve">URN-WOD-MD</t>
  </si>
  <si>
    <t xml:space="preserve">Wood Urn (Medium)</t>
  </si>
  <si>
    <t xml:space="preserve">Handcrafted wood urn, medium</t>
  </si>
  <si>
    <t xml:space="preserve">URN-WOD-LG</t>
  </si>
  <si>
    <t xml:space="preserve">Wood Urn (Large)</t>
  </si>
  <si>
    <t xml:space="preserve">Handcrafted wood urn, large</t>
  </si>
  <si>
    <t xml:space="preserve">URN-MDF-SM</t>
  </si>
  <si>
    <t xml:space="preserve">MDF Urn (Small)</t>
  </si>
  <si>
    <t xml:space="preserve">Standard MDF urn, small</t>
  </si>
  <si>
    <t xml:space="preserve">URN-MDF-MD</t>
  </si>
  <si>
    <t xml:space="preserve">MDF Urn (Medium)</t>
  </si>
  <si>
    <t xml:space="preserve">Standard MDF urn, medium</t>
  </si>
  <si>
    <t xml:space="preserve">URN-BIO-SM</t>
  </si>
  <si>
    <t xml:space="preserve">Biodegradable Urn (Small)</t>
  </si>
  <si>
    <t xml:space="preserve">Eco-friendly urn, small</t>
  </si>
  <si>
    <t xml:space="preserve">URN-BIO-MD</t>
  </si>
  <si>
    <t xml:space="preserve">Biodegradable Urn (Medium)</t>
  </si>
  <si>
    <t xml:space="preserve">Eco-friendly urn, medium</t>
  </si>
  <si>
    <t xml:space="preserve">MEM-CLAY-PAW</t>
  </si>
  <si>
    <t xml:space="preserve">Clay Paw Print (Additional)</t>
  </si>
  <si>
    <t xml:space="preserve">Additional clay paw print</t>
  </si>
  <si>
    <t xml:space="preserve">MEM-CLAY-NOSE</t>
  </si>
  <si>
    <t xml:space="preserve">Clay Nose Print</t>
  </si>
  <si>
    <t xml:space="preserve">Clay nose impression</t>
  </si>
  <si>
    <t xml:space="preserve">MEM-INK-PAW</t>
  </si>
  <si>
    <t xml:space="preserve">Ink Paw Print</t>
  </si>
  <si>
    <t xml:space="preserve">Ink paw print on card</t>
  </si>
  <si>
    <t xml:space="preserve">MEM-INK-NOSE</t>
  </si>
  <si>
    <t xml:space="preserve">Ink Nose Print</t>
  </si>
  <si>
    <t xml:space="preserve">Ink nose impression on card</t>
  </si>
  <si>
    <t xml:space="preserve">MEM-ENG-URN</t>
  </si>
  <si>
    <t xml:space="preserve">Engraving on Urn</t>
  </si>
  <si>
    <t xml:space="preserve">Custom text engraving</t>
  </si>
  <si>
    <t xml:space="preserve">MEM-SHDW</t>
  </si>
  <si>
    <t xml:space="preserve">Shadowbox Print</t>
  </si>
  <si>
    <t xml:space="preserve">Framed shadowbox paw print</t>
  </si>
  <si>
    <t xml:space="preserve">Home Delivery (Local)</t>
  </si>
  <si>
    <t xml:space="preserve">Returns delivered to home</t>
  </si>
  <si>
    <t xml:space="preserve">Home Delivery (Extended)</t>
  </si>
  <si>
    <t xml:space="preserve">Extended area delivery</t>
  </si>
  <si>
    <t xml:space="preserve">SHARED CARE BILLING FLOW</t>
  </si>
  <si>
    <t xml:space="preserve">Step</t>
  </si>
  <si>
    <t xml:space="preserve">System</t>
  </si>
  <si>
    <t xml:space="preserve">Result</t>
  </si>
  <si>
    <t xml:space="preserve">1</t>
  </si>
  <si>
    <t xml:space="preserve">Vet refers pet to Companah</t>
  </si>
  <si>
    <t xml:space="preserve">Order created (care_type = 'shared')</t>
  </si>
  <si>
    <t xml:space="preserve">Order has vet_org_id + owner_contact_id</t>
  </si>
  <si>
    <t xml:space="preserve">2</t>
  </si>
  <si>
    <t xml:space="preserve">Companah sends care plan to owner</t>
  </si>
  <si>
    <t xml:space="preserve">Care plan from orders.care_plans</t>
  </si>
  <si>
    <t xml:space="preserve">Owner receives link to choose upgrades</t>
  </si>
  <si>
    <t xml:space="preserve">3</t>
  </si>
  <si>
    <t xml:space="preserve">Owner selects urn, memorials, delivery</t>
  </si>
  <si>
    <t xml:space="preserve">Choices saved to care plan + line items</t>
  </si>
  <si>
    <t xml:space="preserve">Line items tagged billed_to = 'owner'</t>
  </si>
  <si>
    <t xml:space="preserve">4</t>
  </si>
  <si>
    <t xml:space="preserve">Cremation completed</t>
  </si>
  <si>
    <t xml:space="preserve">Order status updated</t>
  </si>
  <si>
    <t xml:space="preserve">Both parties notified</t>
  </si>
  <si>
    <t xml:space="preserve">5</t>
  </si>
  <si>
    <t xml:space="preserve">Invoice #1 to vet</t>
  </si>
  <si>
    <t xml:space="preserve">billing.invoices (billed_to = vet)</t>
  </si>
  <si>
    <t xml:space="preserve">Wholesale cremation charge</t>
  </si>
  <si>
    <t xml:space="preserve">6</t>
  </si>
  <si>
    <t xml:space="preserve">Invoice #2 to owner</t>
  </si>
  <si>
    <t xml:space="preserve">billing.invoices (billed_to = owner)</t>
  </si>
  <si>
    <t xml:space="preserve">Retail memorial/urn/delivery</t>
  </si>
  <si>
    <t xml:space="preserve">DIRECT CARE MENU — B2C (Size-Tiered Retail)</t>
  </si>
  <si>
    <t xml:space="preserve">Owner contacts Companah directly. Full retail pricing with size tiers. All items billed to owner.</t>
  </si>
  <si>
    <t xml:space="preserve">CREMATION SERVICES</t>
  </si>
  <si>
    <t xml:space="preserve">Display Name</t>
  </si>
  <si>
    <t xml:space="preserve">Size Tier</t>
  </si>
  <si>
    <t xml:space="preserve">Individual — Pocket Pet</t>
  </si>
  <si>
    <t xml:space="preserve">IND-XS</t>
  </si>
  <si>
    <t xml:space="preserve">Individual — Extra Small</t>
  </si>
  <si>
    <t xml:space="preserve">Individual — Small</t>
  </si>
  <si>
    <t xml:space="preserve">IND-MD</t>
  </si>
  <si>
    <t xml:space="preserve">Individual — Medium</t>
  </si>
  <si>
    <t xml:space="preserve">IND-LG</t>
  </si>
  <si>
    <t xml:space="preserve">Individual — Large</t>
  </si>
  <si>
    <t xml:space="preserve">IND-XL</t>
  </si>
  <si>
    <t xml:space="preserve">Individual — Extra Large</t>
  </si>
  <si>
    <t xml:space="preserve">IND-XXL</t>
  </si>
  <si>
    <t xml:space="preserve">Individual — Over 120</t>
  </si>
  <si>
    <t xml:space="preserve">Communal — Pocket Pet</t>
  </si>
  <si>
    <t xml:space="preserve">COM-STD</t>
  </si>
  <si>
    <t xml:space="preserve">ALL</t>
  </si>
  <si>
    <t xml:space="preserve">All sizes</t>
  </si>
  <si>
    <t xml:space="preserve">N/A</t>
  </si>
  <si>
    <t xml:space="preserve">Over 125 lbs</t>
  </si>
  <si>
    <t xml:space="preserve">$25 additional</t>
  </si>
  <si>
    <t xml:space="preserve">URNS &amp; VESSELS</t>
  </si>
  <si>
    <t xml:space="preserve">Size</t>
  </si>
  <si>
    <t xml:space="preserve">Material</t>
  </si>
  <si>
    <t xml:space="preserve">Tree of Life — Small</t>
  </si>
  <si>
    <t xml:space="preserve">Ceramic</t>
  </si>
  <si>
    <t xml:space="preserve">Premium</t>
  </si>
  <si>
    <t xml:space="preserve">Tree of Life — Medium</t>
  </si>
  <si>
    <t xml:space="preserve">Tree of Life — Large</t>
  </si>
  <si>
    <t xml:space="preserve">Wood Urn — Small</t>
  </si>
  <si>
    <t xml:space="preserve">Wood</t>
  </si>
  <si>
    <t xml:space="preserve">Handcrafted</t>
  </si>
  <si>
    <t xml:space="preserve">Wood Urn — Medium</t>
  </si>
  <si>
    <t xml:space="preserve">Wood Urn — Large</t>
  </si>
  <si>
    <t xml:space="preserve">MDF Urn — Small</t>
  </si>
  <si>
    <t xml:space="preserve">MDF</t>
  </si>
  <si>
    <t xml:space="preserve">Standard</t>
  </si>
  <si>
    <t xml:space="preserve">MDF Urn — Medium</t>
  </si>
  <si>
    <t xml:space="preserve">URN-MDF-LG</t>
  </si>
  <si>
    <t xml:space="preserve">MDF Urn — Large</t>
  </si>
  <si>
    <t xml:space="preserve">Biodegradable — Small</t>
  </si>
  <si>
    <t xml:space="preserve">Biodegradable</t>
  </si>
  <si>
    <t xml:space="preserve">Eco-friendly</t>
  </si>
  <si>
    <t xml:space="preserve">Biodegradable — Medium</t>
  </si>
  <si>
    <t xml:space="preserve">URN-BIO-LG</t>
  </si>
  <si>
    <t xml:space="preserve">Biodegradable — Large</t>
  </si>
  <si>
    <t xml:space="preserve">MEMORIALS &amp; KEEPSAKES</t>
  </si>
  <si>
    <t xml:space="preserve">Clay Paw Print</t>
  </si>
  <si>
    <t xml:space="preserve">Standard memorial</t>
  </si>
  <si>
    <t xml:space="preserve">Custom text</t>
  </si>
  <si>
    <t xml:space="preserve">Framed display</t>
  </si>
  <si>
    <t xml:space="preserve">Lock of fur</t>
  </si>
  <si>
    <t xml:space="preserve">SERVICES &amp; ADD-ONS</t>
  </si>
  <si>
    <t xml:space="preserve">Within service area</t>
  </si>
  <si>
    <t xml:space="preserve">Outside normal area</t>
  </si>
  <si>
    <t xml:space="preserve">SVC-PKUP-HOME</t>
  </si>
  <si>
    <t xml:space="preserve">Home Pickup</t>
  </si>
  <si>
    <t xml:space="preserve">Pick up from owner's home</t>
  </si>
  <si>
    <t xml:space="preserve">SVC-RUSH</t>
  </si>
  <si>
    <t xml:space="preserve">Rush Processing</t>
  </si>
  <si>
    <t xml:space="preserve">Expedited cremation</t>
  </si>
  <si>
    <t xml:space="preserve">CARE MODEL COMPARISON — Side-by-Side</t>
  </si>
  <si>
    <t xml:space="preserve">Dimension</t>
  </si>
  <si>
    <t xml:space="preserve">Referral Source</t>
  </si>
  <si>
    <t xml:space="preserve">Owner contacts Companah directly</t>
  </si>
  <si>
    <t xml:space="preserve">Vet partner refers pet</t>
  </si>
  <si>
    <t xml:space="preserve">Who pays for cremation</t>
  </si>
  <si>
    <t xml:space="preserve">Owner at retail (size-tiered)</t>
  </si>
  <si>
    <t xml:space="preserve">Vet at wholesale (flat rate)</t>
  </si>
  <si>
    <t xml:space="preserve">Who pays for urn</t>
  </si>
  <si>
    <t xml:space="preserve">Owner at retail</t>
  </si>
  <si>
    <t xml:space="preserve">Vet (bundled in cremation SKU)</t>
  </si>
  <si>
    <t xml:space="preserve">Owner at retail (via care plan)</t>
  </si>
  <si>
    <t xml:space="preserve">Who pays for memorials</t>
  </si>
  <si>
    <t xml:space="preserve">Vet at wholesale</t>
  </si>
  <si>
    <t xml:space="preserve">Who pays for delivery</t>
  </si>
  <si>
    <t xml:space="preserve">Owner at retail (or vet, varies)</t>
  </si>
  <si>
    <t xml:space="preserve">Pricing model</t>
  </si>
  <si>
    <t xml:space="preserve">Size-tiered (PP thru XXL)</t>
  </si>
  <si>
    <t xml:space="preserve">Flat rate up to 125 lbs</t>
  </si>
  <si>
    <t xml:space="preserve">Flat rate (vet) + retail (owner)</t>
  </si>
  <si>
    <t xml:space="preserve">Urn selection</t>
  </si>
  <si>
    <t xml:space="preserve">Owner chooses any urn</t>
  </si>
  <si>
    <t xml:space="preserve">Urn bundled in SKU (TOL/MDF + size)</t>
  </si>
  <si>
    <t xml:space="preserve">Owner chooses via care plan</t>
  </si>
  <si>
    <t xml:space="preserve">Urn inventory tracking</t>
  </si>
  <si>
    <t xml:space="preserve">By sized URN-* SKU</t>
  </si>
  <si>
    <t xml:space="preserve">By sized suffix on bundled SKU</t>
  </si>
  <si>
    <t xml:space="preserve">Care plan sent to owner?</t>
  </si>
  <si>
    <t xml:space="preserve">Yes — full service menu</t>
  </si>
  <si>
    <t xml:space="preserve">Yes — upgrades &amp; memorials</t>
  </si>
  <si>
    <t xml:space="preserve">Owner record required?</t>
  </si>
  <si>
    <t xml:space="preserve">Yes — primary customer</t>
  </si>
  <si>
    <t xml:space="preserve">Minimal (name only)</t>
  </si>
  <si>
    <t xml:space="preserve">Yes — full contact for billing</t>
  </si>
  <si>
    <t xml:space="preserve">Number of invoices</t>
  </si>
  <si>
    <t xml:space="preserve">1 (to owner)</t>
  </si>
  <si>
    <t xml:space="preserve">1 (to vet partner)</t>
  </si>
  <si>
    <t xml:space="preserve">2 (one to vet, one to owner)</t>
  </si>
  <si>
    <t xml:space="preserve">QBO product name format</t>
  </si>
  <si>
    <t xml:space="preserve">Standard service name</t>
  </si>
  <si>
    <t xml:space="preserve">[PARTNER] - Service Name</t>
  </si>
  <si>
    <t xml:space="preserve">[PARTNER] - Service (vet) + standard (owner)</t>
  </si>
  <si>
    <t xml:space="preserve">SKU example</t>
  </si>
  <si>
    <t xml:space="preserve">LOVT-IND-FLAT (vet) + URN-TOL-SM (owner)</t>
  </si>
  <si>
    <t xml:space="preserve">Supabase care_type</t>
  </si>
  <si>
    <t xml:space="preserve">direct</t>
  </si>
  <si>
    <t xml:space="preserve">partner</t>
  </si>
  <si>
    <t xml:space="preserve">shared</t>
  </si>
  <si>
    <t xml:space="preserve">Owner engagement level</t>
  </si>
  <si>
    <t xml:space="preserve">High — makes all choices</t>
  </si>
  <si>
    <t xml:space="preserve">Low — may not interact</t>
  </si>
  <si>
    <t xml:space="preserve">Medium — chooses upgrades</t>
  </si>
  <si>
    <t xml:space="preserve">Journey tracker visible to</t>
  </si>
  <si>
    <t xml:space="preserve">Vet staff</t>
  </si>
  <si>
    <t xml:space="preserve">Both vet staff and owner</t>
  </si>
  <si>
    <t xml:space="preserve">SUPABASE SCHEMA CHANGES FOR THREE CARE MODELS</t>
  </si>
  <si>
    <t xml:space="preserve">NEW / MODIFIED FIELDS</t>
  </si>
  <si>
    <t xml:space="preserve">Field</t>
  </si>
  <si>
    <t xml:space="preserve">Type</t>
  </si>
  <si>
    <t xml:space="preserve">Values / Purpose</t>
  </si>
  <si>
    <t xml:space="preserve">Change Type</t>
  </si>
  <si>
    <t xml:space="preserve">care_type</t>
  </si>
  <si>
    <t xml:space="preserve">text CHECK</t>
  </si>
  <si>
    <t xml:space="preserve">direct | partner | shared</t>
  </si>
  <si>
    <t xml:space="preserve">NEW FIELD</t>
  </si>
  <si>
    <t xml:space="preserve">owner_contact_id</t>
  </si>
  <si>
    <t xml:space="preserve">uuid FK → core.contacts</t>
  </si>
  <si>
    <t xml:space="preserve">Required for direct &amp; shared, optional for partner</t>
  </si>
  <si>
    <t xml:space="preserve">RENAME from client_contact_id</t>
  </si>
  <si>
    <t xml:space="preserve">partner_organization_id</t>
  </si>
  <si>
    <t xml:space="preserve">uuid FK → core.organizations</t>
  </si>
  <si>
    <t xml:space="preserve">Required for partner &amp; shared, null for direct</t>
  </si>
  <si>
    <t xml:space="preserve">RENAME from vet_organization_id</t>
  </si>
  <si>
    <t xml:space="preserve">orders.line_items</t>
  </si>
  <si>
    <t xml:space="preserve">billed_to_type</t>
  </si>
  <si>
    <t xml:space="preserve">owner | partner — determines which invoice</t>
  </si>
  <si>
    <t xml:space="preserve">billed_to_id</t>
  </si>
  <si>
    <t xml:space="preserve">uuid FK</t>
  </si>
  <si>
    <t xml:space="preserve">Polymorphic reference to billing party</t>
  </si>
  <si>
    <t xml:space="preserve">sku</t>
  </si>
  <si>
    <t xml:space="preserve">text UNIQUE</t>
  </si>
  <si>
    <t xml:space="preserve">Standardized SKU (IND-FLAT, URN-TOL-SM, etc.)</t>
  </si>
  <si>
    <t xml:space="preserve">ENHANCE — make required &amp; unique</t>
  </si>
  <si>
    <t xml:space="preserve">care_model_availability</t>
  </si>
  <si>
    <t xml:space="preserve">text[]</t>
  </si>
  <si>
    <t xml:space="preserve">Array: {direct, partner, shared}</t>
  </si>
  <si>
    <t xml:space="preserve">product_id</t>
  </si>
  <si>
    <t xml:space="preserve">uuid FK → pricing.products</t>
  </si>
  <si>
    <t xml:space="preserve">Which standardized service</t>
  </si>
  <si>
    <t xml:space="preserve">NEW FK (replaces text service_type)</t>
  </si>
  <si>
    <t xml:space="preserve">rate</t>
  </si>
  <si>
    <t xml:space="preserve">numeric</t>
  </si>
  <si>
    <t xml:space="preserve">Flat wholesale rate for this partner + service</t>
  </si>
  <si>
    <t xml:space="preserve">EXISTING</t>
  </si>
  <si>
    <t xml:space="preserve">partner | shared — rate may differ</t>
  </si>
  <si>
    <t xml:space="preserve">NEW TABLE</t>
  </si>
  <si>
    <t xml:space="preserve">size_tier</t>
  </si>
  <si>
    <t xml:space="preserve">PP | XS | SM | MD | LG | XL | XXL</t>
  </si>
  <si>
    <t xml:space="preserve">Retail price for this size tier</t>
  </si>
  <si>
    <t xml:space="preserve">owner | partner</t>
  </si>
  <si>
    <t xml:space="preserve">billed_to_contact_id</t>
  </si>
  <si>
    <t xml:space="preserve">For owner invoices</t>
  </si>
  <si>
    <t xml:space="preserve">billed_to_org_id</t>
  </si>
  <si>
    <t xml:space="preserve">For partner invoices</t>
  </si>
  <si>
    <t xml:space="preserve">direct | shared — care plans only for these</t>
  </si>
  <si>
    <t xml:space="preserve">owner_selections_locked</t>
  </si>
  <si>
    <t xml:space="preserve">boolean</t>
  </si>
  <si>
    <t xml:space="preserve">True once owner finalizes choices</t>
  </si>
  <si>
    <t xml:space="preserve">QBO PRODUCTS &amp; SERVICES — CLEANUP SEQUENCE</t>
  </si>
  <si>
    <t xml:space="preserve">5-phase plan to clean up 862 QBO items while preserving historical data.</t>
  </si>
  <si>
    <t xml:space="preserve">Phase</t>
  </si>
  <si>
    <t xml:space="preserve">Items Affected</t>
  </si>
  <si>
    <t xml:space="preserve">Effort</t>
  </si>
  <si>
    <t xml:space="preserve">Risk</t>
  </si>
  <si>
    <t xml:space="preserve">Phase 1</t>
  </si>
  <si>
    <t xml:space="preserve">Deactivate never-sold items</t>
  </si>
  <si>
    <t xml:space="preserve">~69 items</t>
  </si>
  <si>
    <t xml:space="preserve">Low (30 min)</t>
  </si>
  <si>
    <t xml:space="preserve">None</t>
  </si>
  <si>
    <t xml:space="preserve">Safe — $0 revenue, 0 transactions</t>
  </si>
  <si>
    <t xml:space="preserve">Phase 2</t>
  </si>
  <si>
    <t xml:space="preserve">Deactivate retired partner items</t>
  </si>
  <si>
    <t xml:space="preserve">TBD (pending review)</t>
  </si>
  <si>
    <t xml:space="preserve">Low (1 hr)</t>
  </si>
  <si>
    <t xml:space="preserve">Hal &amp; Shannon confirm inactive partners first</t>
  </si>
  <si>
    <t xml:space="preserve">Phase 3</t>
  </si>
  <si>
    <t xml:space="preserve">Standardize active partner item names</t>
  </si>
  <si>
    <t xml:space="preserve">~500 items</t>
  </si>
  <si>
    <t xml:space="preserve">Medium (2-3 hrs)</t>
  </si>
  <si>
    <t xml:space="preserve">Low</t>
  </si>
  <si>
    <t xml:space="preserve">Rename to [PARTNER] - Standard Name format</t>
  </si>
  <si>
    <t xml:space="preserve">Phase 4</t>
  </si>
  <si>
    <t xml:space="preserve">Add SKUs to all active items</t>
  </si>
  <si>
    <t xml:space="preserve">Apply new SKU structure (no WC prefix)</t>
  </si>
  <si>
    <t xml:space="preserve">Phase 5</t>
  </si>
  <si>
    <t xml:space="preserve">Create new Shared Care + sized urn items</t>
  </si>
  <si>
    <t xml:space="preserve">~40-60 new items</t>
  </si>
  <si>
    <t xml:space="preserve">Low-Med (1-2 hrs)</t>
  </si>
  <si>
    <t xml:space="preserve">New owner-billed items + urn size variants</t>
  </si>
  <si>
    <t xml:space="preserve">MASTER SKU LIST — All Standardized Products &amp; Services</t>
  </si>
  <si>
    <t xml:space="preserve">No WC prefix. Urn-bundled partner SKUs include size suffix for inventory. SKUs shared across care models where applicable.</t>
  </si>
  <si>
    <t xml:space="preserve">SKU</t>
  </si>
  <si>
    <t xml:space="preserve">Size/Tier</t>
  </si>
  <si>
    <t xml:space="preserve">Care Models</t>
  </si>
  <si>
    <t xml:space="preserve">QBO Type</t>
  </si>
  <si>
    <t xml:space="preserve">Direct, Partner, Shared</t>
  </si>
  <si>
    <t xml:space="preserve">Varies</t>
  </si>
  <si>
    <t xml:space="preserve">Direct</t>
  </si>
  <si>
    <t xml:space="preserve">Individual — Flat Rate</t>
  </si>
  <si>
    <t xml:space="preserve">Partner, Shared</t>
  </si>
  <si>
    <t xml:space="preserve">No urn included</t>
  </si>
  <si>
    <t xml:space="preserve">Individual + Paw — Flat Rate</t>
  </si>
  <si>
    <t xml:space="preserve">Individual + TOL Urn (SM)</t>
  </si>
  <si>
    <t xml:space="preserve">Partner</t>
  </si>
  <si>
    <t xml:space="preserve">Urn bundled, price same as MD/LG</t>
  </si>
  <si>
    <t xml:space="preserve">Individual + TOL Urn (MD)</t>
  </si>
  <si>
    <t xml:space="preserve">Urn bundled, price same as SM/LG</t>
  </si>
  <si>
    <t xml:space="preserve">Individual + TOL Urn (LG)</t>
  </si>
  <si>
    <t xml:space="preserve">Urn bundled, price same as SM/MD</t>
  </si>
  <si>
    <t xml:space="preserve">Individual + TOL (SM) + Paw</t>
  </si>
  <si>
    <t xml:space="preserve">Individual + TOL (MD) + Paw</t>
  </si>
  <si>
    <t xml:space="preserve">Individual + TOL (LG) + Paw</t>
  </si>
  <si>
    <t xml:space="preserve">Individual + MDF Urn (SM)</t>
  </si>
  <si>
    <t xml:space="preserve">Individual + MDF Urn (MD)</t>
  </si>
  <si>
    <t xml:space="preserve">Individual + MDF Urn (LG)</t>
  </si>
  <si>
    <t xml:space="preserve">Communal — Flat Rate</t>
  </si>
  <si>
    <t xml:space="preserve">Communal + Paw — Flat Rate</t>
  </si>
  <si>
    <t xml:space="preserve">Direct, Shared</t>
  </si>
  <si>
    <t xml:space="preserve">Non-Inventory</t>
  </si>
  <si>
    <t xml:space="preserve">All</t>
  </si>
  <si>
    <t xml:space="preserve">Standard with service</t>
  </si>
  <si>
    <t xml:space="preserve">Extra paw print</t>
  </si>
  <si>
    <t xml:space="preserve">No cremation</t>
  </si>
  <si>
    <t xml:space="preserve">$25</t>
  </si>
  <si>
    <t xml:space="preserve">Staff Pet (discounted)</t>
  </si>
  <si>
    <t xml:space="preserve">SUMMARY</t>
  </si>
  <si>
    <t xml:space="preserve">Total Standardized SKUs</t>
  </si>
  <si>
    <t xml:space="preserve">Individual Cremation (IND)</t>
  </si>
  <si>
    <t xml:space="preserve">Communal Cremation (COM)</t>
  </si>
  <si>
    <t xml:space="preserve">Urns (URN)</t>
  </si>
  <si>
    <t xml:space="preserve">Memorials (MEM)</t>
  </si>
  <si>
    <t xml:space="preserve">Services (SVC)</t>
  </si>
  <si>
    <t xml:space="preserve">PARTNER-SPECIFIC ITEMS IN QBO</t>
  </si>
  <si>
    <t xml:space="preserve">Each partner gets [PARTNER]-prefixed copies of the services they offer:</t>
  </si>
  <si>
    <t xml:space="preserve">Partner SKU</t>
  </si>
  <si>
    <t xml:space="preserve">QBO Name</t>
  </si>
  <si>
    <t xml:space="preserve">Rate</t>
  </si>
  <si>
    <t xml:space="preserve">(LOVT's rate)</t>
  </si>
  <si>
    <t xml:space="preserve">LOVT-IND-FLAT-TOL-SM</t>
  </si>
  <si>
    <t xml:space="preserve">LOVT - Individual TOL (SM)</t>
  </si>
  <si>
    <t xml:space="preserve">(LOVT's TOL rate)</t>
  </si>
  <si>
    <t xml:space="preserve">LOVT - Individual TOL (MD)</t>
  </si>
  <si>
    <t xml:space="preserve">(same rate)</t>
  </si>
  <si>
    <t xml:space="preserve">LOVT-IND-FLAT-TOL-LG</t>
  </si>
  <si>
    <t xml:space="preserve">LOVT - Individual TOL (LG)</t>
  </si>
  <si>
    <t xml:space="preserve">GJNC-IND-FLAT</t>
  </si>
  <si>
    <t xml:space="preserve">GJNC - Individual</t>
  </si>
  <si>
    <t xml:space="preserve">(GJNC's rate)</t>
  </si>
  <si>
    <t xml:space="preserve">GJNC-COM-FLAT</t>
  </si>
  <si>
    <t xml:space="preserve">GJNC - Communal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</si>
</sst>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E50"/>
      <name val="Arial"/>
      <family val="0"/>
      <charset val="1"/>
    </font>
    <font>
      <b val="true"/>
      <sz val="13"/>
      <color rgb="FF2C3E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999999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2"/>
      <color rgb="FF2E7D3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444444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FFFDE7"/>
        <bgColor rgb="FFFFF3E0"/>
      </patternFill>
    </fill>
    <fill>
      <patternFill patternType="solid">
        <fgColor rgb="FFF3E5F5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3E0"/>
      <rgbColor rgb="FFFFFDE7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444444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50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0</v>
      </c>
    </row>
    <row r="3" customFormat="false" ht="16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23.85" hidden="false" customHeight="false" outlineLevel="0" collapsed="false">
      <c r="A6" s="4" t="s">
        <v>6</v>
      </c>
      <c r="B6" s="4" t="s">
        <v>7</v>
      </c>
      <c r="C6" s="4" t="s">
        <v>8</v>
      </c>
      <c r="D6" s="4" t="s">
        <v>9</v>
      </c>
    </row>
    <row r="7" customFormat="false" ht="35.05" hidden="false" customHeight="false" outlineLevel="0" collapsed="false">
      <c r="A7" s="5" t="s">
        <v>10</v>
      </c>
      <c r="B7" s="5" t="s">
        <v>11</v>
      </c>
      <c r="C7" s="5" t="s">
        <v>12</v>
      </c>
      <c r="D7" s="5" t="s">
        <v>13</v>
      </c>
    </row>
    <row r="8" customFormat="false" ht="35.05" hidden="false" customHeight="false" outlineLevel="0" collapsed="false">
      <c r="A8" s="6" t="s">
        <v>14</v>
      </c>
      <c r="B8" s="6" t="s">
        <v>15</v>
      </c>
      <c r="C8" s="6" t="s">
        <v>12</v>
      </c>
      <c r="D8" s="6" t="s">
        <v>16</v>
      </c>
    </row>
    <row r="10" customFormat="false" ht="16.15" hidden="false" customHeight="false" outlineLevel="0" collapsed="false">
      <c r="A10" s="2" t="s">
        <v>17</v>
      </c>
    </row>
    <row r="12" customFormat="false" ht="15" hidden="false" customHeight="false" outlineLevel="0" collapsed="false">
      <c r="A12" s="3" t="s">
        <v>18</v>
      </c>
      <c r="B12" s="3" t="s">
        <v>19</v>
      </c>
      <c r="C12" s="3" t="s">
        <v>20</v>
      </c>
      <c r="D12" s="3"/>
    </row>
    <row r="13" customFormat="false" ht="15" hidden="false" customHeight="false" outlineLevel="0" collapsed="false">
      <c r="A13" s="7" t="s">
        <v>21</v>
      </c>
      <c r="B13" s="7" t="s">
        <v>22</v>
      </c>
      <c r="C13" s="7" t="s">
        <v>23</v>
      </c>
      <c r="D13" s="7"/>
    </row>
    <row r="14" customFormat="false" ht="15" hidden="false" customHeight="false" outlineLevel="0" collapsed="false">
      <c r="A14" s="7" t="s">
        <v>24</v>
      </c>
      <c r="B14" s="7" t="s">
        <v>25</v>
      </c>
      <c r="C14" s="7" t="s">
        <v>26</v>
      </c>
      <c r="D14" s="7"/>
    </row>
    <row r="16" customFormat="false" ht="16.15" hidden="false" customHeight="false" outlineLevel="0" collapsed="false">
      <c r="A16" s="2" t="s">
        <v>27</v>
      </c>
    </row>
    <row r="18" customFormat="false" ht="15" hidden="false" customHeight="false" outlineLevel="0" collapsed="false">
      <c r="A18" s="3" t="s">
        <v>28</v>
      </c>
      <c r="B18" s="3" t="s">
        <v>29</v>
      </c>
      <c r="C18" s="3" t="s">
        <v>30</v>
      </c>
      <c r="D18" s="3"/>
    </row>
    <row r="19" customFormat="false" ht="15" hidden="false" customHeight="false" outlineLevel="0" collapsed="false">
      <c r="A19" s="7" t="s">
        <v>31</v>
      </c>
      <c r="B19" s="7" t="s">
        <v>32</v>
      </c>
      <c r="C19" s="7" t="s">
        <v>33</v>
      </c>
      <c r="D19" s="7"/>
    </row>
    <row r="20" customFormat="false" ht="15" hidden="false" customHeight="false" outlineLevel="0" collapsed="false">
      <c r="A20" s="7" t="s">
        <v>34</v>
      </c>
      <c r="B20" s="7" t="s">
        <v>35</v>
      </c>
      <c r="C20" s="7" t="s">
        <v>33</v>
      </c>
      <c r="D20" s="7"/>
    </row>
    <row r="21" customFormat="false" ht="15" hidden="false" customHeight="false" outlineLevel="0" collapsed="false">
      <c r="A21" s="7" t="s">
        <v>36</v>
      </c>
      <c r="B21" s="7" t="s">
        <v>37</v>
      </c>
      <c r="C21" s="7" t="s">
        <v>38</v>
      </c>
      <c r="D21" s="7"/>
    </row>
    <row r="22" customFormat="false" ht="15" hidden="false" customHeight="false" outlineLevel="0" collapsed="false">
      <c r="A22" s="7" t="s">
        <v>39</v>
      </c>
      <c r="B22" s="7" t="s">
        <v>40</v>
      </c>
      <c r="C22" s="7" t="s">
        <v>33</v>
      </c>
      <c r="D22" s="7"/>
    </row>
    <row r="23" customFormat="false" ht="15" hidden="false" customHeight="false" outlineLevel="0" collapsed="false">
      <c r="A23" s="7" t="s">
        <v>41</v>
      </c>
      <c r="B23" s="7" t="s">
        <v>42</v>
      </c>
      <c r="C23" s="7" t="s">
        <v>33</v>
      </c>
      <c r="D23" s="7"/>
    </row>
    <row r="24" customFormat="false" ht="15" hidden="false" customHeight="false" outlineLevel="0" collapsed="false">
      <c r="A24" s="7" t="s">
        <v>43</v>
      </c>
      <c r="B24" s="7" t="s">
        <v>44</v>
      </c>
      <c r="C24" s="7" t="s">
        <v>45</v>
      </c>
      <c r="D24" s="7"/>
    </row>
    <row r="26" customFormat="false" ht="16.15" hidden="false" customHeight="false" outlineLevel="0" collapsed="false">
      <c r="A26" s="2" t="s">
        <v>46</v>
      </c>
    </row>
    <row r="28" customFormat="false" ht="15" hidden="false" customHeight="false" outlineLevel="0" collapsed="false">
      <c r="A28" s="3" t="s">
        <v>28</v>
      </c>
      <c r="B28" s="3" t="s">
        <v>3</v>
      </c>
      <c r="C28" s="3" t="s">
        <v>47</v>
      </c>
      <c r="D28" s="3" t="s">
        <v>30</v>
      </c>
    </row>
    <row r="29" customFormat="false" ht="15" hidden="false" customHeight="false" outlineLevel="0" collapsed="false">
      <c r="A29" s="7" t="s">
        <v>48</v>
      </c>
      <c r="B29" s="7" t="s">
        <v>49</v>
      </c>
      <c r="C29" s="7" t="s">
        <v>50</v>
      </c>
      <c r="D29" s="7" t="s">
        <v>51</v>
      </c>
    </row>
    <row r="30" customFormat="false" ht="15" hidden="false" customHeight="false" outlineLevel="0" collapsed="false">
      <c r="A30" s="7" t="s">
        <v>52</v>
      </c>
      <c r="B30" s="7" t="s">
        <v>53</v>
      </c>
      <c r="C30" s="7" t="s">
        <v>54</v>
      </c>
      <c r="D30" s="7" t="s">
        <v>55</v>
      </c>
    </row>
    <row r="31" customFormat="false" ht="15" hidden="false" customHeight="false" outlineLevel="0" collapsed="false">
      <c r="A31" s="7" t="s">
        <v>56</v>
      </c>
      <c r="B31" s="7" t="s">
        <v>57</v>
      </c>
      <c r="C31" s="7" t="s">
        <v>58</v>
      </c>
      <c r="D31" s="7" t="s">
        <v>59</v>
      </c>
    </row>
    <row r="32" customFormat="false" ht="15" hidden="false" customHeight="false" outlineLevel="0" collapsed="false">
      <c r="A32" s="7" t="s">
        <v>60</v>
      </c>
      <c r="B32" s="7" t="s">
        <v>61</v>
      </c>
      <c r="C32" s="7" t="s">
        <v>62</v>
      </c>
      <c r="D32" s="7" t="s">
        <v>59</v>
      </c>
    </row>
    <row r="33" customFormat="false" ht="15" hidden="false" customHeight="false" outlineLevel="0" collapsed="false">
      <c r="A33" s="7" t="s">
        <v>63</v>
      </c>
      <c r="B33" s="7" t="s">
        <v>64</v>
      </c>
      <c r="C33" s="7" t="s">
        <v>65</v>
      </c>
      <c r="D33" s="7" t="s">
        <v>59</v>
      </c>
    </row>
    <row r="34" customFormat="false" ht="15" hidden="false" customHeight="false" outlineLevel="0" collapsed="false">
      <c r="A34" s="7" t="s">
        <v>66</v>
      </c>
      <c r="B34" s="7" t="s">
        <v>67</v>
      </c>
      <c r="C34" s="7" t="s">
        <v>68</v>
      </c>
      <c r="D34" s="7" t="s">
        <v>55</v>
      </c>
    </row>
    <row r="35" customFormat="false" ht="15" hidden="false" customHeight="false" outlineLevel="0" collapsed="false">
      <c r="A35" s="7" t="s">
        <v>69</v>
      </c>
      <c r="B35" s="7" t="s">
        <v>70</v>
      </c>
      <c r="C35" s="7" t="s">
        <v>71</v>
      </c>
      <c r="D35" s="7" t="s">
        <v>55</v>
      </c>
    </row>
    <row r="36" customFormat="false" ht="15" hidden="false" customHeight="false" outlineLevel="0" collapsed="false">
      <c r="A36" s="7" t="s">
        <v>72</v>
      </c>
      <c r="B36" s="7" t="s">
        <v>73</v>
      </c>
      <c r="C36" s="7" t="s">
        <v>74</v>
      </c>
      <c r="D36" s="7" t="s">
        <v>75</v>
      </c>
    </row>
    <row r="38" customFormat="false" ht="16.15" hidden="false" customHeight="false" outlineLevel="0" collapsed="false">
      <c r="A38" s="2" t="s">
        <v>76</v>
      </c>
    </row>
    <row r="40" customFormat="false" ht="15" hidden="false" customHeight="false" outlineLevel="0" collapsed="false">
      <c r="A40" s="8" t="s">
        <v>77</v>
      </c>
    </row>
    <row r="41" customFormat="false" ht="15" hidden="false" customHeight="false" outlineLevel="0" collapsed="false">
      <c r="A41" s="8" t="s">
        <v>78</v>
      </c>
    </row>
    <row r="42" customFormat="false" ht="15" hidden="false" customHeight="false" outlineLevel="0" collapsed="false">
      <c r="A42" s="8" t="s">
        <v>79</v>
      </c>
    </row>
    <row r="43" customFormat="false" ht="15" hidden="false" customHeight="false" outlineLevel="0" collapsed="false">
      <c r="A43" s="8" t="s">
        <v>80</v>
      </c>
    </row>
    <row r="44" customFormat="false" ht="15" hidden="false" customHeight="false" outlineLevel="0" collapsed="false">
      <c r="A44" s="8" t="s">
        <v>81</v>
      </c>
    </row>
    <row r="46" customFormat="false" ht="16.15" hidden="false" customHeight="false" outlineLevel="0" collapsed="false">
      <c r="A46" s="2" t="s">
        <v>82</v>
      </c>
    </row>
    <row r="48" customFormat="false" ht="15" hidden="false" customHeight="false" outlineLevel="0" collapsed="false">
      <c r="A48" s="3" t="s">
        <v>83</v>
      </c>
      <c r="B48" s="3" t="s">
        <v>84</v>
      </c>
      <c r="C48" s="3" t="s">
        <v>85</v>
      </c>
      <c r="D48" s="3"/>
    </row>
    <row r="49" customFormat="false" ht="23.85" hidden="false" customHeight="false" outlineLevel="0" collapsed="false">
      <c r="A49" s="7" t="s">
        <v>86</v>
      </c>
      <c r="B49" s="7" t="s">
        <v>87</v>
      </c>
      <c r="C49" s="7" t="s">
        <v>88</v>
      </c>
      <c r="D49" s="7"/>
    </row>
    <row r="50" customFormat="false" ht="23.85" hidden="false" customHeight="false" outlineLevel="0" collapsed="false">
      <c r="A50" s="7" t="s">
        <v>89</v>
      </c>
      <c r="B50" s="7" t="s">
        <v>90</v>
      </c>
      <c r="C50" s="7" t="s">
        <v>91</v>
      </c>
      <c r="D50" s="7"/>
    </row>
    <row r="51" customFormat="false" ht="15" hidden="false" customHeight="false" outlineLevel="0" collapsed="false">
      <c r="A51" s="7" t="s">
        <v>92</v>
      </c>
      <c r="B51" s="7" t="s">
        <v>93</v>
      </c>
      <c r="C51" s="7" t="s">
        <v>94</v>
      </c>
      <c r="D51" s="7"/>
    </row>
    <row r="52" customFormat="false" ht="15" hidden="false" customHeight="false" outlineLevel="0" collapsed="false">
      <c r="A52" s="7" t="s">
        <v>95</v>
      </c>
      <c r="B52" s="7" t="s">
        <v>96</v>
      </c>
      <c r="C52" s="7" t="s">
        <v>97</v>
      </c>
      <c r="D52" s="7"/>
    </row>
    <row r="53" customFormat="false" ht="15" hidden="false" customHeight="false" outlineLevel="0" collapsed="false">
      <c r="A53" s="7" t="s">
        <v>98</v>
      </c>
      <c r="B53" s="7" t="s">
        <v>99</v>
      </c>
      <c r="C53" s="7" t="s">
        <v>100</v>
      </c>
      <c r="D53" s="7"/>
    </row>
    <row r="54" customFormat="false" ht="15" hidden="false" customHeight="false" outlineLevel="0" collapsed="false">
      <c r="A54" s="7" t="s">
        <v>101</v>
      </c>
      <c r="B54" s="7" t="s">
        <v>102</v>
      </c>
      <c r="C54" s="7" t="s">
        <v>103</v>
      </c>
      <c r="D54" s="7"/>
    </row>
    <row r="55" customFormat="false" ht="23.85" hidden="false" customHeight="false" outlineLevel="0" collapsed="false">
      <c r="A55" s="9" t="s">
        <v>104</v>
      </c>
      <c r="B55" s="9" t="s">
        <v>105</v>
      </c>
      <c r="C55" s="9" t="s">
        <v>106</v>
      </c>
      <c r="D55" s="9"/>
    </row>
    <row r="56" customFormat="false" ht="16.15" hidden="false" customHeight="false" outlineLevel="0" collapsed="false">
      <c r="A56" s="2"/>
    </row>
    <row r="57" customFormat="false" ht="15" hidden="false" customHeight="false" outlineLevel="0" collapsed="false">
      <c r="A57" s="0" t="s">
        <v>107</v>
      </c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7" t="s">
        <v>108</v>
      </c>
      <c r="B59" s="7" t="s">
        <v>109</v>
      </c>
      <c r="C59" s="7" t="s">
        <v>110</v>
      </c>
      <c r="D59" s="7"/>
    </row>
    <row r="60" customFormat="false" ht="15" hidden="false" customHeight="false" outlineLevel="0" collapsed="false">
      <c r="A60" s="7" t="s">
        <v>111</v>
      </c>
      <c r="B60" s="7" t="s">
        <v>112</v>
      </c>
      <c r="C60" s="7" t="s">
        <v>113</v>
      </c>
      <c r="D60" s="7"/>
    </row>
    <row r="61" customFormat="false" ht="15" hidden="false" customHeight="false" outlineLevel="0" collapsed="false">
      <c r="A61" s="7" t="s">
        <v>114</v>
      </c>
      <c r="B61" s="7" t="s">
        <v>115</v>
      </c>
      <c r="C61" s="7" t="s">
        <v>116</v>
      </c>
      <c r="D61" s="7"/>
    </row>
    <row r="62" customFormat="false" ht="15" hidden="false" customHeight="false" outlineLevel="0" collapsed="false">
      <c r="A62" s="7" t="s">
        <v>117</v>
      </c>
      <c r="B62" s="7" t="s">
        <v>118</v>
      </c>
      <c r="C62" s="7" t="s">
        <v>119</v>
      </c>
      <c r="D62" s="7"/>
    </row>
    <row r="63" customFormat="false" ht="15" hidden="false" customHeight="false" outlineLevel="0" collapsed="false">
      <c r="A63" s="7" t="s">
        <v>120</v>
      </c>
      <c r="B63" s="7" t="s">
        <v>121</v>
      </c>
      <c r="C63" s="7" t="s">
        <v>122</v>
      </c>
      <c r="D63" s="7"/>
    </row>
    <row r="64" customFormat="false" ht="15" hidden="false" customHeight="false" outlineLevel="0" collapsed="false">
      <c r="A64" s="7" t="s">
        <v>123</v>
      </c>
      <c r="B64" s="7" t="s">
        <v>124</v>
      </c>
      <c r="C64" s="7" t="s">
        <v>125</v>
      </c>
      <c r="D64" s="7"/>
    </row>
    <row r="65" customFormat="false" ht="15" hidden="false" customHeight="false" outlineLevel="0" collapsed="false">
      <c r="A65" s="0" t="s">
        <v>126</v>
      </c>
      <c r="B65" s="0" t="s">
        <v>127</v>
      </c>
      <c r="C65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8"/>
    <col collapsed="false" customWidth="true" hidden="false" outlineLevel="0" max="3" min="3" style="0" width="39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0" t="s">
        <v>129</v>
      </c>
    </row>
    <row r="2" customFormat="false" ht="15" hidden="false" customHeight="false" outlineLevel="0" collapsed="false">
      <c r="A2" s="11" t="s">
        <v>130</v>
      </c>
    </row>
    <row r="4" customFormat="false" ht="15" hidden="false" customHeight="false" outlineLevel="0" collapsed="false">
      <c r="A4" s="12" t="s">
        <v>131</v>
      </c>
      <c r="B4" s="12" t="s">
        <v>132</v>
      </c>
      <c r="C4" s="12" t="s">
        <v>133</v>
      </c>
      <c r="D4" s="12" t="s">
        <v>3</v>
      </c>
      <c r="E4" s="12" t="s">
        <v>29</v>
      </c>
      <c r="F4" s="12" t="s">
        <v>134</v>
      </c>
      <c r="G4" s="12" t="s">
        <v>135</v>
      </c>
    </row>
    <row r="5" customFormat="false" ht="15" hidden="false" customHeight="false" outlineLevel="0" collapsed="false">
      <c r="A5" s="13" t="n">
        <v>1</v>
      </c>
      <c r="B5" s="13" t="s">
        <v>136</v>
      </c>
      <c r="C5" s="13" t="s">
        <v>137</v>
      </c>
      <c r="D5" s="13" t="s">
        <v>138</v>
      </c>
      <c r="E5" s="13" t="s">
        <v>31</v>
      </c>
      <c r="F5" s="13" t="s">
        <v>139</v>
      </c>
      <c r="G5" s="13" t="s">
        <v>140</v>
      </c>
    </row>
    <row r="6" customFormat="false" ht="15" hidden="false" customHeight="false" outlineLevel="0" collapsed="false">
      <c r="A6" s="14" t="n">
        <v>2</v>
      </c>
      <c r="B6" s="14" t="s">
        <v>141</v>
      </c>
      <c r="C6" s="14" t="s">
        <v>142</v>
      </c>
      <c r="D6" s="14" t="s">
        <v>143</v>
      </c>
      <c r="E6" s="14" t="s">
        <v>31</v>
      </c>
      <c r="F6" s="14" t="s">
        <v>139</v>
      </c>
      <c r="G6" s="14" t="s">
        <v>144</v>
      </c>
    </row>
    <row r="7" customFormat="false" ht="15" hidden="false" customHeight="false" outlineLevel="0" collapsed="false">
      <c r="A7" s="13" t="n">
        <v>3</v>
      </c>
      <c r="B7" s="13" t="s">
        <v>145</v>
      </c>
      <c r="C7" s="13" t="s">
        <v>146</v>
      </c>
      <c r="D7" s="13" t="s">
        <v>147</v>
      </c>
      <c r="E7" s="13" t="s">
        <v>31</v>
      </c>
      <c r="F7" s="13" t="s">
        <v>139</v>
      </c>
      <c r="G7" s="13" t="s">
        <v>148</v>
      </c>
    </row>
    <row r="8" customFormat="false" ht="15" hidden="false" customHeight="false" outlineLevel="0" collapsed="false">
      <c r="A8" s="14" t="n">
        <v>4</v>
      </c>
      <c r="B8" s="14" t="s">
        <v>149</v>
      </c>
      <c r="C8" s="14" t="s">
        <v>150</v>
      </c>
      <c r="D8" s="14" t="s">
        <v>151</v>
      </c>
      <c r="E8" s="14" t="s">
        <v>31</v>
      </c>
      <c r="F8" s="14" t="s">
        <v>139</v>
      </c>
      <c r="G8" s="14" t="s">
        <v>148</v>
      </c>
    </row>
    <row r="9" customFormat="false" ht="15" hidden="false" customHeight="false" outlineLevel="0" collapsed="false">
      <c r="A9" s="13" t="n">
        <v>5</v>
      </c>
      <c r="B9" s="13" t="s">
        <v>152</v>
      </c>
      <c r="C9" s="13" t="s">
        <v>153</v>
      </c>
      <c r="D9" s="13" t="s">
        <v>154</v>
      </c>
      <c r="E9" s="13" t="s">
        <v>31</v>
      </c>
      <c r="F9" s="13" t="s">
        <v>139</v>
      </c>
      <c r="G9" s="13" t="s">
        <v>148</v>
      </c>
    </row>
    <row r="10" customFormat="false" ht="15" hidden="false" customHeight="false" outlineLevel="0" collapsed="false">
      <c r="A10" s="14" t="n">
        <v>6</v>
      </c>
      <c r="B10" s="14" t="s">
        <v>155</v>
      </c>
      <c r="C10" s="14" t="s">
        <v>156</v>
      </c>
      <c r="D10" s="14" t="s">
        <v>157</v>
      </c>
      <c r="E10" s="14" t="s">
        <v>31</v>
      </c>
      <c r="F10" s="14" t="s">
        <v>139</v>
      </c>
      <c r="G10" s="14" t="s">
        <v>158</v>
      </c>
    </row>
    <row r="11" customFormat="false" ht="15" hidden="false" customHeight="false" outlineLevel="0" collapsed="false">
      <c r="A11" s="13" t="n">
        <v>7</v>
      </c>
      <c r="B11" s="13" t="s">
        <v>159</v>
      </c>
      <c r="C11" s="13" t="s">
        <v>160</v>
      </c>
      <c r="D11" s="13" t="s">
        <v>161</v>
      </c>
      <c r="E11" s="13" t="s">
        <v>31</v>
      </c>
      <c r="F11" s="13" t="s">
        <v>139</v>
      </c>
      <c r="G11" s="13" t="s">
        <v>158</v>
      </c>
    </row>
    <row r="12" customFormat="false" ht="15" hidden="false" customHeight="false" outlineLevel="0" collapsed="false">
      <c r="A12" s="14" t="n">
        <v>8</v>
      </c>
      <c r="B12" s="14" t="s">
        <v>162</v>
      </c>
      <c r="C12" s="14" t="s">
        <v>163</v>
      </c>
      <c r="D12" s="14" t="s">
        <v>164</v>
      </c>
      <c r="E12" s="14" t="s">
        <v>31</v>
      </c>
      <c r="F12" s="14" t="s">
        <v>139</v>
      </c>
      <c r="G12" s="14" t="s">
        <v>158</v>
      </c>
    </row>
    <row r="13" customFormat="false" ht="15" hidden="false" customHeight="false" outlineLevel="0" collapsed="false">
      <c r="A13" s="13" t="n">
        <v>9</v>
      </c>
      <c r="B13" s="13" t="s">
        <v>165</v>
      </c>
      <c r="C13" s="13" t="s">
        <v>166</v>
      </c>
      <c r="D13" s="13" t="s">
        <v>167</v>
      </c>
      <c r="E13" s="13" t="s">
        <v>31</v>
      </c>
      <c r="F13" s="13" t="s">
        <v>139</v>
      </c>
      <c r="G13" s="13" t="s">
        <v>168</v>
      </c>
    </row>
    <row r="14" customFormat="false" ht="15" hidden="false" customHeight="false" outlineLevel="0" collapsed="false">
      <c r="A14" s="14" t="n">
        <v>10</v>
      </c>
      <c r="B14" s="14" t="s">
        <v>169</v>
      </c>
      <c r="C14" s="14" t="s">
        <v>170</v>
      </c>
      <c r="D14" s="14" t="s">
        <v>171</v>
      </c>
      <c r="E14" s="14" t="s">
        <v>31</v>
      </c>
      <c r="F14" s="14" t="s">
        <v>139</v>
      </c>
      <c r="G14" s="14" t="s">
        <v>168</v>
      </c>
    </row>
    <row r="15" customFormat="false" ht="15" hidden="false" customHeight="false" outlineLevel="0" collapsed="false">
      <c r="A15" s="13" t="n">
        <v>11</v>
      </c>
      <c r="B15" s="13" t="s">
        <v>172</v>
      </c>
      <c r="C15" s="13" t="s">
        <v>173</v>
      </c>
      <c r="D15" s="13" t="s">
        <v>174</v>
      </c>
      <c r="E15" s="13" t="s">
        <v>31</v>
      </c>
      <c r="F15" s="13" t="s">
        <v>139</v>
      </c>
      <c r="G15" s="13" t="s">
        <v>168</v>
      </c>
    </row>
    <row r="16" customFormat="false" ht="15" hidden="false" customHeight="false" outlineLevel="0" collapsed="false">
      <c r="A16" s="14" t="n">
        <v>12</v>
      </c>
      <c r="B16" s="14" t="s">
        <v>175</v>
      </c>
      <c r="C16" s="14" t="s">
        <v>176</v>
      </c>
      <c r="D16" s="14" t="s">
        <v>177</v>
      </c>
      <c r="E16" s="14" t="s">
        <v>34</v>
      </c>
      <c r="F16" s="14" t="s">
        <v>139</v>
      </c>
      <c r="G16" s="14" t="s">
        <v>178</v>
      </c>
    </row>
    <row r="17" customFormat="false" ht="15" hidden="false" customHeight="false" outlineLevel="0" collapsed="false">
      <c r="A17" s="13" t="n">
        <v>13</v>
      </c>
      <c r="B17" s="13" t="s">
        <v>179</v>
      </c>
      <c r="C17" s="13" t="s">
        <v>180</v>
      </c>
      <c r="D17" s="13" t="s">
        <v>181</v>
      </c>
      <c r="E17" s="13" t="s">
        <v>34</v>
      </c>
      <c r="F17" s="13" t="s">
        <v>139</v>
      </c>
      <c r="G17" s="13" t="s">
        <v>182</v>
      </c>
    </row>
    <row r="18" customFormat="false" ht="15" hidden="false" customHeight="false" outlineLevel="0" collapsed="false">
      <c r="A18" s="14" t="n">
        <v>14</v>
      </c>
      <c r="B18" s="14" t="s">
        <v>183</v>
      </c>
      <c r="C18" s="14" t="s">
        <v>184</v>
      </c>
      <c r="D18" s="14" t="s">
        <v>185</v>
      </c>
      <c r="E18" s="14" t="s">
        <v>31</v>
      </c>
      <c r="F18" s="14" t="s">
        <v>139</v>
      </c>
      <c r="G18" s="14" t="s">
        <v>50</v>
      </c>
    </row>
    <row r="19" customFormat="false" ht="15" hidden="false" customHeight="false" outlineLevel="0" collapsed="false">
      <c r="A19" s="13" t="n">
        <v>15</v>
      </c>
      <c r="B19" s="13" t="s">
        <v>186</v>
      </c>
      <c r="C19" s="13" t="s">
        <v>187</v>
      </c>
      <c r="D19" s="13" t="s">
        <v>188</v>
      </c>
      <c r="E19" s="13" t="s">
        <v>34</v>
      </c>
      <c r="F19" s="13" t="s">
        <v>139</v>
      </c>
      <c r="G19" s="13" t="s">
        <v>50</v>
      </c>
    </row>
    <row r="20" customFormat="false" ht="15" hidden="false" customHeight="false" outlineLevel="0" collapsed="false">
      <c r="A20" s="14" t="n">
        <v>16</v>
      </c>
      <c r="B20" s="14" t="s">
        <v>189</v>
      </c>
      <c r="C20" s="14" t="s">
        <v>190</v>
      </c>
      <c r="D20" s="14" t="s">
        <v>191</v>
      </c>
      <c r="E20" s="14" t="s">
        <v>39</v>
      </c>
      <c r="F20" s="14" t="s">
        <v>139</v>
      </c>
      <c r="G20" s="14" t="s">
        <v>192</v>
      </c>
    </row>
    <row r="21" customFormat="false" ht="15" hidden="false" customHeight="false" outlineLevel="0" collapsed="false">
      <c r="A21" s="13" t="n">
        <v>17</v>
      </c>
      <c r="B21" s="13" t="s">
        <v>193</v>
      </c>
      <c r="C21" s="13" t="s">
        <v>194</v>
      </c>
      <c r="D21" s="13" t="s">
        <v>195</v>
      </c>
      <c r="E21" s="13" t="s">
        <v>41</v>
      </c>
      <c r="F21" s="13" t="s">
        <v>139</v>
      </c>
      <c r="G21" s="13" t="s">
        <v>196</v>
      </c>
    </row>
    <row r="22" customFormat="false" ht="15" hidden="false" customHeight="false" outlineLevel="0" collapsed="false">
      <c r="A22" s="14" t="n">
        <v>18</v>
      </c>
      <c r="B22" s="14" t="s">
        <v>197</v>
      </c>
      <c r="C22" s="14" t="s">
        <v>198</v>
      </c>
      <c r="D22" s="14" t="s">
        <v>199</v>
      </c>
      <c r="E22" s="14" t="s">
        <v>41</v>
      </c>
      <c r="F22" s="14" t="s">
        <v>139</v>
      </c>
      <c r="G22" s="14" t="s">
        <v>200</v>
      </c>
    </row>
    <row r="23" customFormat="false" ht="15" hidden="false" customHeight="false" outlineLevel="0" collapsed="false">
      <c r="A23" s="13" t="n">
        <v>19</v>
      </c>
      <c r="B23" s="13" t="s">
        <v>201</v>
      </c>
      <c r="C23" s="13" t="s">
        <v>202</v>
      </c>
      <c r="D23" s="13" t="s">
        <v>203</v>
      </c>
      <c r="E23" s="13" t="s">
        <v>39</v>
      </c>
      <c r="F23" s="13" t="s">
        <v>139</v>
      </c>
      <c r="G23" s="13" t="s">
        <v>204</v>
      </c>
    </row>
    <row r="26" customFormat="false" ht="15" hidden="false" customHeight="false" outlineLevel="0" collapsed="false">
      <c r="A26" s="15" t="s">
        <v>205</v>
      </c>
    </row>
    <row r="27" customFormat="false" ht="15" hidden="false" customHeight="false" outlineLevel="0" collapsed="false">
      <c r="A27" s="12" t="s">
        <v>131</v>
      </c>
      <c r="B27" s="12" t="s">
        <v>132</v>
      </c>
      <c r="C27" s="12" t="s">
        <v>133</v>
      </c>
      <c r="D27" s="12" t="s">
        <v>3</v>
      </c>
      <c r="E27" s="12" t="s">
        <v>29</v>
      </c>
      <c r="F27" s="12" t="s">
        <v>134</v>
      </c>
      <c r="G27" s="12" t="s">
        <v>135</v>
      </c>
    </row>
    <row r="28" customFormat="false" ht="15" hidden="false" customHeight="false" outlineLevel="0" collapsed="false">
      <c r="A28" s="13" t="n">
        <v>20</v>
      </c>
      <c r="B28" s="13" t="s">
        <v>206</v>
      </c>
      <c r="C28" s="13" t="s">
        <v>207</v>
      </c>
      <c r="D28" s="13" t="s">
        <v>208</v>
      </c>
      <c r="E28" s="13" t="s">
        <v>41</v>
      </c>
      <c r="F28" s="13" t="s">
        <v>139</v>
      </c>
      <c r="G28" s="13"/>
    </row>
    <row r="29" customFormat="false" ht="15" hidden="false" customHeight="false" outlineLevel="0" collapsed="false">
      <c r="A29" s="14" t="n">
        <v>21</v>
      </c>
      <c r="B29" s="14" t="s">
        <v>209</v>
      </c>
      <c r="C29" s="14" t="s">
        <v>210</v>
      </c>
      <c r="D29" s="14" t="s">
        <v>211</v>
      </c>
      <c r="E29" s="14" t="s">
        <v>41</v>
      </c>
      <c r="F29" s="14" t="s">
        <v>139</v>
      </c>
      <c r="G29" s="14"/>
    </row>
    <row r="30" customFormat="false" ht="15" hidden="false" customHeight="false" outlineLevel="0" collapsed="false">
      <c r="A30" s="13" t="n">
        <v>22</v>
      </c>
      <c r="B30" s="13" t="s">
        <v>212</v>
      </c>
      <c r="C30" s="13" t="s">
        <v>213</v>
      </c>
      <c r="D30" s="13" t="s">
        <v>214</v>
      </c>
      <c r="E30" s="13" t="s">
        <v>41</v>
      </c>
      <c r="F30" s="13" t="s">
        <v>139</v>
      </c>
      <c r="G30" s="13" t="s">
        <v>215</v>
      </c>
    </row>
    <row r="31" customFormat="false" ht="15" hidden="false" customHeight="false" outlineLevel="0" collapsed="false">
      <c r="A31" s="14" t="n">
        <v>23</v>
      </c>
      <c r="B31" s="14" t="s">
        <v>216</v>
      </c>
      <c r="C31" s="14" t="s">
        <v>217</v>
      </c>
      <c r="D31" s="14" t="s">
        <v>218</v>
      </c>
      <c r="E31" s="14" t="s">
        <v>39</v>
      </c>
      <c r="F31" s="14" t="s">
        <v>139</v>
      </c>
      <c r="G31" s="14"/>
    </row>
    <row r="32" customFormat="false" ht="15" hidden="false" customHeight="false" outlineLevel="0" collapsed="false">
      <c r="A32" s="13" t="n">
        <v>24</v>
      </c>
      <c r="B32" s="13" t="s">
        <v>219</v>
      </c>
      <c r="C32" s="13" t="s">
        <v>220</v>
      </c>
      <c r="D32" s="13" t="s">
        <v>221</v>
      </c>
      <c r="E32" s="13" t="s">
        <v>39</v>
      </c>
      <c r="F32" s="13" t="s">
        <v>139</v>
      </c>
      <c r="G32" s="13"/>
    </row>
    <row r="35" customFormat="false" ht="15" hidden="false" customHeight="false" outlineLevel="0" collapsed="false">
      <c r="A35" s="15" t="s">
        <v>222</v>
      </c>
    </row>
    <row r="36" customFormat="false" ht="15" hidden="false" customHeight="false" outlineLevel="0" collapsed="false">
      <c r="A36" s="12" t="s">
        <v>223</v>
      </c>
      <c r="B36" s="12" t="s">
        <v>224</v>
      </c>
      <c r="C36" s="12" t="s">
        <v>225</v>
      </c>
      <c r="D36" s="12" t="s">
        <v>226</v>
      </c>
    </row>
    <row r="37" customFormat="false" ht="15" hidden="false" customHeight="false" outlineLevel="0" collapsed="false">
      <c r="A37" s="13" t="s">
        <v>227</v>
      </c>
      <c r="B37" s="13" t="s">
        <v>228</v>
      </c>
      <c r="C37" s="13" t="s">
        <v>229</v>
      </c>
      <c r="D37" s="13" t="s">
        <v>230</v>
      </c>
    </row>
    <row r="38" customFormat="false" ht="15" hidden="false" customHeight="false" outlineLevel="0" collapsed="false">
      <c r="A38" s="9" t="s">
        <v>227</v>
      </c>
      <c r="B38" s="9" t="s">
        <v>231</v>
      </c>
      <c r="C38" s="9" t="s">
        <v>232</v>
      </c>
      <c r="D38" s="9" t="s">
        <v>233</v>
      </c>
    </row>
    <row r="39" customFormat="false" ht="15" hidden="false" customHeight="false" outlineLevel="0" collapsed="false">
      <c r="A39" s="13" t="s">
        <v>227</v>
      </c>
      <c r="B39" s="13" t="s">
        <v>234</v>
      </c>
      <c r="C39" s="13" t="s">
        <v>235</v>
      </c>
      <c r="D39" s="13" t="s">
        <v>236</v>
      </c>
    </row>
    <row r="40" customFormat="false" ht="15" hidden="false" customHeight="false" outlineLevel="0" collapsed="false">
      <c r="A40" s="9" t="s">
        <v>237</v>
      </c>
      <c r="B40" s="9" t="s">
        <v>237</v>
      </c>
      <c r="C40" s="9" t="s">
        <v>238</v>
      </c>
      <c r="D40" s="9" t="s">
        <v>239</v>
      </c>
    </row>
    <row r="41" customFormat="false" ht="15" hidden="false" customHeight="false" outlineLevel="0" collapsed="false">
      <c r="A41" s="13" t="s">
        <v>240</v>
      </c>
      <c r="B41" s="13" t="s">
        <v>241</v>
      </c>
      <c r="C41" s="13" t="s">
        <v>242</v>
      </c>
      <c r="D41" s="13" t="s">
        <v>243</v>
      </c>
    </row>
    <row r="42" customFormat="false" ht="15" hidden="false" customHeight="false" outlineLevel="0" collapsed="false">
      <c r="A42" s="9" t="s">
        <v>244</v>
      </c>
      <c r="B42" s="9" t="s">
        <v>245</v>
      </c>
      <c r="C42" s="9" t="s">
        <v>246</v>
      </c>
      <c r="D42" s="9" t="s">
        <v>243</v>
      </c>
    </row>
    <row r="45" customFormat="false" ht="15" hidden="false" customHeight="false" outlineLevel="0" collapsed="false">
      <c r="A45" s="16" t="s">
        <v>247</v>
      </c>
    </row>
    <row r="46" customFormat="false" ht="15" hidden="false" customHeight="false" outlineLevel="0" collapsed="false">
      <c r="A46" s="11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23" min="4" style="0" width="12"/>
  </cols>
  <sheetData>
    <row r="1" customFormat="false" ht="17.35" hidden="false" customHeight="false" outlineLevel="0" collapsed="false">
      <c r="A1" s="10" t="s">
        <v>249</v>
      </c>
    </row>
    <row r="2" customFormat="false" ht="15" hidden="false" customHeight="false" outlineLevel="0" collapsed="false">
      <c r="A2" s="11" t="s">
        <v>250</v>
      </c>
    </row>
    <row r="3" customFormat="false" ht="15" hidden="false" customHeight="false" outlineLevel="0" collapsed="false">
      <c r="A3" s="11" t="s">
        <v>251</v>
      </c>
    </row>
    <row r="5" customFormat="false" ht="22.35" hidden="false" customHeight="false" outlineLevel="0" collapsed="false">
      <c r="A5" s="12" t="s">
        <v>252</v>
      </c>
      <c r="B5" s="12" t="s">
        <v>253</v>
      </c>
      <c r="C5" s="12" t="s">
        <v>135</v>
      </c>
      <c r="D5" s="12" t="s">
        <v>254</v>
      </c>
      <c r="E5" s="12" t="s">
        <v>255</v>
      </c>
      <c r="F5" s="12" t="s">
        <v>256</v>
      </c>
      <c r="G5" s="12" t="s">
        <v>257</v>
      </c>
      <c r="H5" s="12" t="s">
        <v>258</v>
      </c>
      <c r="I5" s="12" t="s">
        <v>259</v>
      </c>
      <c r="J5" s="12" t="s">
        <v>260</v>
      </c>
      <c r="K5" s="12" t="s">
        <v>261</v>
      </c>
      <c r="L5" s="12" t="s">
        <v>262</v>
      </c>
      <c r="M5" s="12" t="s">
        <v>263</v>
      </c>
      <c r="N5" s="12" t="s">
        <v>264</v>
      </c>
      <c r="O5" s="12" t="s">
        <v>265</v>
      </c>
      <c r="P5" s="12" t="s">
        <v>266</v>
      </c>
      <c r="Q5" s="12" t="s">
        <v>267</v>
      </c>
      <c r="R5" s="12" t="s">
        <v>268</v>
      </c>
      <c r="S5" s="12" t="s">
        <v>269</v>
      </c>
      <c r="T5" s="12" t="s">
        <v>270</v>
      </c>
      <c r="U5" s="12" t="s">
        <v>271</v>
      </c>
      <c r="V5" s="12" t="s">
        <v>272</v>
      </c>
      <c r="W5" s="12" t="s">
        <v>273</v>
      </c>
      <c r="X5" s="17" t="s">
        <v>274</v>
      </c>
    </row>
    <row r="6" customFormat="false" ht="15" hidden="false" customHeight="false" outlineLevel="0" collapsed="false">
      <c r="A6" s="18" t="s">
        <v>136</v>
      </c>
      <c r="B6" s="19" t="s">
        <v>275</v>
      </c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customFormat="false" ht="15" hidden="false" customHeight="false" outlineLevel="0" collapsed="false">
      <c r="A7" s="18" t="s">
        <v>141</v>
      </c>
      <c r="B7" s="19" t="s">
        <v>276</v>
      </c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customFormat="false" ht="15" hidden="false" customHeight="false" outlineLevel="0" collapsed="false">
      <c r="A8" s="18" t="s">
        <v>277</v>
      </c>
      <c r="B8" s="19" t="s">
        <v>278</v>
      </c>
      <c r="C8" s="20" t="s">
        <v>279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customFormat="false" ht="15" hidden="false" customHeight="false" outlineLevel="0" collapsed="false">
      <c r="A9" s="18" t="s">
        <v>280</v>
      </c>
      <c r="B9" s="19" t="s">
        <v>281</v>
      </c>
      <c r="C9" s="20" t="s">
        <v>279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customFormat="false" ht="15" hidden="false" customHeight="false" outlineLevel="0" collapsed="false">
      <c r="A10" s="18" t="s">
        <v>282</v>
      </c>
      <c r="B10" s="19" t="s">
        <v>283</v>
      </c>
      <c r="C10" s="20" t="s">
        <v>279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customFormat="false" ht="15" hidden="false" customHeight="false" outlineLevel="0" collapsed="false">
      <c r="A11" s="18" t="s">
        <v>175</v>
      </c>
      <c r="B11" s="19" t="s">
        <v>284</v>
      </c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customFormat="false" ht="15" hidden="false" customHeight="false" outlineLevel="0" collapsed="false">
      <c r="A12" s="18" t="s">
        <v>179</v>
      </c>
      <c r="B12" s="19" t="s">
        <v>285</v>
      </c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customFormat="false" ht="15" hidden="false" customHeight="false" outlineLevel="0" collapsed="false">
      <c r="A13" s="18" t="s">
        <v>183</v>
      </c>
      <c r="B13" s="19" t="s">
        <v>286</v>
      </c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customFormat="false" ht="15" hidden="false" customHeight="false" outlineLevel="0" collapsed="false">
      <c r="A14" s="18" t="s">
        <v>186</v>
      </c>
      <c r="B14" s="19" t="s">
        <v>287</v>
      </c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customFormat="false" ht="15" hidden="false" customHeight="false" outlineLevel="0" collapsed="false">
      <c r="A15" s="18" t="s">
        <v>189</v>
      </c>
      <c r="B15" s="19" t="s">
        <v>288</v>
      </c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customFormat="false" ht="15" hidden="false" customHeight="false" outlineLevel="0" collapsed="false">
      <c r="A16" s="18" t="s">
        <v>193</v>
      </c>
      <c r="B16" s="19" t="s">
        <v>289</v>
      </c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customFormat="false" ht="15" hidden="false" customHeight="false" outlineLevel="0" collapsed="false">
      <c r="A17" s="18" t="s">
        <v>197</v>
      </c>
      <c r="B17" s="19" t="s">
        <v>290</v>
      </c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customFormat="false" ht="15" hidden="false" customHeight="false" outlineLevel="0" collapsed="false">
      <c r="A18" s="18" t="s">
        <v>201</v>
      </c>
      <c r="B18" s="19" t="s">
        <v>291</v>
      </c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customFormat="false" ht="15" hidden="false" customHeight="false" outlineLevel="0" collapsed="false">
      <c r="A19" s="22"/>
      <c r="B19" s="23" t="s">
        <v>292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customFormat="false" ht="15" hidden="false" customHeight="false" outlineLevel="0" collapsed="false">
      <c r="A20" s="18" t="s">
        <v>206</v>
      </c>
      <c r="B20" s="19" t="s">
        <v>293</v>
      </c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customFormat="false" ht="15" hidden="false" customHeight="false" outlineLevel="0" collapsed="false">
      <c r="A21" s="18" t="s">
        <v>209</v>
      </c>
      <c r="B21" s="19" t="s">
        <v>294</v>
      </c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customFormat="false" ht="15" hidden="false" customHeight="false" outlineLevel="0" collapsed="false">
      <c r="A22" s="18" t="s">
        <v>212</v>
      </c>
      <c r="B22" s="19" t="s">
        <v>295</v>
      </c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customFormat="false" ht="15" hidden="false" customHeight="false" outlineLevel="0" collapsed="false">
      <c r="A23" s="18" t="s">
        <v>216</v>
      </c>
      <c r="B23" s="19" t="s">
        <v>296</v>
      </c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customFormat="false" ht="15" hidden="false" customHeight="false" outlineLevel="0" collapsed="false">
      <c r="A24" s="18" t="s">
        <v>219</v>
      </c>
      <c r="B24" s="19" t="s">
        <v>297</v>
      </c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7" customFormat="false" ht="15" hidden="false" customHeight="false" outlineLevel="0" collapsed="false">
      <c r="A27" s="15" t="s">
        <v>298</v>
      </c>
    </row>
    <row r="28" customFormat="false" ht="15" hidden="false" customHeight="false" outlineLevel="0" collapsed="false">
      <c r="A28" s="26" t="s">
        <v>299</v>
      </c>
    </row>
    <row r="29" customFormat="false" ht="15" hidden="false" customHeight="false" outlineLevel="0" collapsed="false">
      <c r="A29" s="26" t="s">
        <v>300</v>
      </c>
    </row>
    <row r="30" customFormat="false" ht="15" hidden="false" customHeight="false" outlineLevel="0" collapsed="false">
      <c r="A30" s="26" t="s">
        <v>301</v>
      </c>
    </row>
    <row r="31" customFormat="false" ht="15" hidden="false" customHeight="false" outlineLevel="0" collapsed="false">
      <c r="A31" s="26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0" t="s">
        <v>303</v>
      </c>
    </row>
    <row r="2" customFormat="false" ht="15" hidden="false" customHeight="false" outlineLevel="0" collapsed="false">
      <c r="A2" s="11" t="s">
        <v>304</v>
      </c>
    </row>
    <row r="4" customFormat="false" ht="26.85" hidden="false" customHeight="false" outlineLevel="0" collapsed="false">
      <c r="A4" s="12" t="s">
        <v>305</v>
      </c>
      <c r="B4" s="12" t="s">
        <v>306</v>
      </c>
      <c r="C4" s="12" t="s">
        <v>307</v>
      </c>
      <c r="D4" s="12" t="s">
        <v>308</v>
      </c>
      <c r="E4" s="12" t="s">
        <v>309</v>
      </c>
      <c r="F4" s="12" t="s">
        <v>135</v>
      </c>
    </row>
    <row r="5" customFormat="false" ht="15" hidden="false" customHeight="false" outlineLevel="0" collapsed="false">
      <c r="A5" s="13" t="s">
        <v>254</v>
      </c>
      <c r="B5" s="13" t="s">
        <v>310</v>
      </c>
      <c r="C5" s="13" t="s">
        <v>311</v>
      </c>
      <c r="D5" s="13" t="s">
        <v>312</v>
      </c>
      <c r="E5" s="13" t="s">
        <v>313</v>
      </c>
      <c r="F5" s="13"/>
    </row>
    <row r="6" customFormat="false" ht="15" hidden="false" customHeight="false" outlineLevel="0" collapsed="false">
      <c r="A6" s="14" t="s">
        <v>255</v>
      </c>
      <c r="B6" s="14" t="s">
        <v>310</v>
      </c>
      <c r="C6" s="14" t="s">
        <v>311</v>
      </c>
      <c r="D6" s="14" t="s">
        <v>312</v>
      </c>
      <c r="E6" s="14" t="s">
        <v>313</v>
      </c>
      <c r="F6" s="14"/>
    </row>
    <row r="7" customFormat="false" ht="15" hidden="false" customHeight="false" outlineLevel="0" collapsed="false">
      <c r="A7" s="13" t="s">
        <v>256</v>
      </c>
      <c r="B7" s="13" t="s">
        <v>310</v>
      </c>
      <c r="C7" s="13" t="s">
        <v>311</v>
      </c>
      <c r="D7" s="13" t="s">
        <v>312</v>
      </c>
      <c r="E7" s="13" t="s">
        <v>313</v>
      </c>
      <c r="F7" s="13"/>
    </row>
    <row r="8" customFormat="false" ht="15" hidden="false" customHeight="false" outlineLevel="0" collapsed="false">
      <c r="A8" s="27" t="s">
        <v>257</v>
      </c>
      <c r="B8" s="27" t="s">
        <v>310</v>
      </c>
      <c r="C8" s="27" t="s">
        <v>314</v>
      </c>
      <c r="D8" s="27" t="s">
        <v>312</v>
      </c>
      <c r="E8" s="27" t="s">
        <v>315</v>
      </c>
      <c r="F8" s="27" t="s">
        <v>316</v>
      </c>
    </row>
    <row r="9" customFormat="false" ht="15" hidden="false" customHeight="false" outlineLevel="0" collapsed="false">
      <c r="A9" s="13" t="s">
        <v>258</v>
      </c>
      <c r="B9" s="13" t="s">
        <v>310</v>
      </c>
      <c r="C9" s="13" t="s">
        <v>311</v>
      </c>
      <c r="D9" s="13" t="s">
        <v>312</v>
      </c>
      <c r="E9" s="13" t="s">
        <v>313</v>
      </c>
      <c r="F9" s="13"/>
    </row>
    <row r="10" customFormat="false" ht="15" hidden="false" customHeight="false" outlineLevel="0" collapsed="false">
      <c r="A10" s="14" t="s">
        <v>259</v>
      </c>
      <c r="B10" s="14" t="s">
        <v>310</v>
      </c>
      <c r="C10" s="14" t="s">
        <v>311</v>
      </c>
      <c r="D10" s="14" t="s">
        <v>312</v>
      </c>
      <c r="E10" s="14" t="s">
        <v>313</v>
      </c>
      <c r="F10" s="14"/>
    </row>
    <row r="11" customFormat="false" ht="15" hidden="false" customHeight="false" outlineLevel="0" collapsed="false">
      <c r="A11" s="13" t="s">
        <v>260</v>
      </c>
      <c r="B11" s="13" t="s">
        <v>310</v>
      </c>
      <c r="C11" s="13" t="s">
        <v>311</v>
      </c>
      <c r="D11" s="13" t="s">
        <v>312</v>
      </c>
      <c r="E11" s="13" t="s">
        <v>313</v>
      </c>
      <c r="F11" s="13"/>
    </row>
    <row r="12" customFormat="false" ht="15" hidden="false" customHeight="false" outlineLevel="0" collapsed="false">
      <c r="A12" s="28" t="s">
        <v>261</v>
      </c>
      <c r="B12" s="28" t="s">
        <v>310</v>
      </c>
      <c r="C12" s="28" t="s">
        <v>311</v>
      </c>
      <c r="D12" s="28" t="s">
        <v>317</v>
      </c>
      <c r="E12" s="28" t="s">
        <v>313</v>
      </c>
      <c r="F12" s="28" t="s">
        <v>318</v>
      </c>
    </row>
    <row r="13" customFormat="false" ht="15" hidden="false" customHeight="false" outlineLevel="0" collapsed="false">
      <c r="A13" s="13" t="s">
        <v>262</v>
      </c>
      <c r="B13" s="13" t="s">
        <v>310</v>
      </c>
      <c r="C13" s="13" t="s">
        <v>311</v>
      </c>
      <c r="D13" s="13" t="s">
        <v>312</v>
      </c>
      <c r="E13" s="13" t="s">
        <v>313</v>
      </c>
      <c r="F13" s="13"/>
    </row>
    <row r="14" customFormat="false" ht="15" hidden="false" customHeight="false" outlineLevel="0" collapsed="false">
      <c r="A14" s="14" t="s">
        <v>263</v>
      </c>
      <c r="B14" s="14" t="s">
        <v>310</v>
      </c>
      <c r="C14" s="14" t="s">
        <v>311</v>
      </c>
      <c r="D14" s="14" t="s">
        <v>312</v>
      </c>
      <c r="E14" s="14" t="s">
        <v>313</v>
      </c>
      <c r="F14" s="14"/>
    </row>
    <row r="15" customFormat="false" ht="15" hidden="false" customHeight="false" outlineLevel="0" collapsed="false">
      <c r="A15" s="27" t="s">
        <v>264</v>
      </c>
      <c r="B15" s="27" t="s">
        <v>310</v>
      </c>
      <c r="C15" s="27" t="s">
        <v>314</v>
      </c>
      <c r="D15" s="27" t="s">
        <v>312</v>
      </c>
      <c r="E15" s="27" t="s">
        <v>315</v>
      </c>
      <c r="F15" s="27" t="s">
        <v>316</v>
      </c>
    </row>
    <row r="16" customFormat="false" ht="15" hidden="false" customHeight="false" outlineLevel="0" collapsed="false">
      <c r="A16" s="14" t="s">
        <v>265</v>
      </c>
      <c r="B16" s="14" t="s">
        <v>310</v>
      </c>
      <c r="C16" s="14" t="s">
        <v>311</v>
      </c>
      <c r="D16" s="14" t="s">
        <v>312</v>
      </c>
      <c r="E16" s="14" t="s">
        <v>313</v>
      </c>
      <c r="F16" s="14"/>
    </row>
    <row r="17" customFormat="false" ht="15" hidden="false" customHeight="false" outlineLevel="0" collapsed="false">
      <c r="A17" s="29" t="s">
        <v>266</v>
      </c>
      <c r="B17" s="29" t="s">
        <v>310</v>
      </c>
      <c r="C17" s="29" t="s">
        <v>311</v>
      </c>
      <c r="D17" s="29" t="s">
        <v>319</v>
      </c>
      <c r="E17" s="29" t="s">
        <v>313</v>
      </c>
      <c r="F17" s="29"/>
    </row>
    <row r="18" customFormat="false" ht="15" hidden="false" customHeight="false" outlineLevel="0" collapsed="false">
      <c r="A18" s="29" t="s">
        <v>267</v>
      </c>
      <c r="B18" s="29" t="s">
        <v>310</v>
      </c>
      <c r="C18" s="29" t="s">
        <v>311</v>
      </c>
      <c r="D18" s="29" t="s">
        <v>319</v>
      </c>
      <c r="E18" s="29" t="s">
        <v>313</v>
      </c>
      <c r="F18" s="29"/>
    </row>
    <row r="19" customFormat="false" ht="15" hidden="false" customHeight="false" outlineLevel="0" collapsed="false">
      <c r="A19" s="13" t="s">
        <v>268</v>
      </c>
      <c r="B19" s="13" t="s">
        <v>310</v>
      </c>
      <c r="C19" s="13" t="s">
        <v>311</v>
      </c>
      <c r="D19" s="13" t="s">
        <v>312</v>
      </c>
      <c r="E19" s="13" t="s">
        <v>313</v>
      </c>
      <c r="F19" s="13"/>
    </row>
    <row r="20" customFormat="false" ht="15" hidden="false" customHeight="false" outlineLevel="0" collapsed="false">
      <c r="A20" s="30"/>
      <c r="B20" s="30" t="s">
        <v>320</v>
      </c>
      <c r="C20" s="30"/>
      <c r="D20" s="30"/>
      <c r="E20" s="30"/>
      <c r="F20" s="30"/>
    </row>
    <row r="21" customFormat="false" ht="15" hidden="false" customHeight="false" outlineLevel="0" collapsed="false">
      <c r="A21" s="30"/>
      <c r="B21" s="30" t="s">
        <v>320</v>
      </c>
      <c r="C21" s="30"/>
      <c r="D21" s="30"/>
      <c r="E21" s="30"/>
      <c r="F21" s="30"/>
    </row>
    <row r="22" customFormat="false" ht="15" hidden="false" customHeight="false" outlineLevel="0" collapsed="false">
      <c r="A22" s="30"/>
      <c r="B22" s="30" t="s">
        <v>320</v>
      </c>
      <c r="C22" s="30"/>
      <c r="D22" s="30"/>
      <c r="E22" s="30"/>
      <c r="F22" s="30"/>
    </row>
    <row r="25" customFormat="false" ht="15" hidden="false" customHeight="false" outlineLevel="0" collapsed="false">
      <c r="A25" s="15" t="s">
        <v>321</v>
      </c>
    </row>
    <row r="26" customFormat="false" ht="15" hidden="false" customHeight="false" outlineLevel="0" collapsed="false">
      <c r="A26" s="31" t="s">
        <v>322</v>
      </c>
      <c r="B26" s="26" t="s">
        <v>323</v>
      </c>
    </row>
    <row r="27" customFormat="false" ht="15" hidden="false" customHeight="false" outlineLevel="0" collapsed="false">
      <c r="A27" s="32" t="s">
        <v>324</v>
      </c>
      <c r="B27" s="26" t="s">
        <v>325</v>
      </c>
    </row>
    <row r="28" customFormat="false" ht="15" hidden="false" customHeight="false" outlineLevel="0" collapsed="false">
      <c r="A28" s="33" t="s">
        <v>326</v>
      </c>
      <c r="B28" s="26" t="s">
        <v>327</v>
      </c>
    </row>
    <row r="29" customFormat="false" ht="15" hidden="false" customHeight="false" outlineLevel="0" collapsed="false">
      <c r="A29" s="34" t="s">
        <v>328</v>
      </c>
      <c r="B29" s="26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7"/>
    <col collapsed="false" customWidth="true" hidden="false" outlineLevel="0" max="2" min="2" style="0" width="40"/>
    <col collapsed="false" customWidth="true" hidden="false" outlineLevel="0" max="3" min="3" style="0" width="41"/>
    <col collapsed="false" customWidth="true" hidden="false" outlineLevel="0" max="4" min="4" style="0" width="43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0" t="s">
        <v>330</v>
      </c>
    </row>
    <row r="2" customFormat="false" ht="15" hidden="false" customHeight="false" outlineLevel="0" collapsed="false">
      <c r="A2" s="11" t="s">
        <v>331</v>
      </c>
    </row>
    <row r="4" customFormat="false" ht="15" hidden="false" customHeight="false" outlineLevel="0" collapsed="false">
      <c r="A4" s="35" t="s">
        <v>332</v>
      </c>
    </row>
    <row r="5" customFormat="false" ht="15" hidden="false" customHeight="false" outlineLevel="0" collapsed="false">
      <c r="A5" s="12" t="s">
        <v>131</v>
      </c>
      <c r="B5" s="12" t="s">
        <v>132</v>
      </c>
      <c r="C5" s="12" t="s">
        <v>133</v>
      </c>
      <c r="D5" s="12" t="s">
        <v>3</v>
      </c>
      <c r="E5" s="12" t="s">
        <v>333</v>
      </c>
      <c r="F5" s="12" t="s">
        <v>334</v>
      </c>
    </row>
    <row r="6" customFormat="false" ht="15" hidden="false" customHeight="false" outlineLevel="0" collapsed="false">
      <c r="A6" s="36" t="n">
        <v>1</v>
      </c>
      <c r="B6" s="36" t="s">
        <v>136</v>
      </c>
      <c r="C6" s="36" t="s">
        <v>335</v>
      </c>
      <c r="D6" s="36" t="s">
        <v>336</v>
      </c>
      <c r="E6" s="36" t="s">
        <v>139</v>
      </c>
      <c r="F6" s="36" t="s">
        <v>337</v>
      </c>
    </row>
    <row r="7" customFormat="false" ht="15" hidden="false" customHeight="false" outlineLevel="0" collapsed="false">
      <c r="A7" s="36" t="n">
        <v>2</v>
      </c>
      <c r="B7" s="36" t="s">
        <v>175</v>
      </c>
      <c r="C7" s="36" t="s">
        <v>338</v>
      </c>
      <c r="D7" s="36" t="s">
        <v>339</v>
      </c>
      <c r="E7" s="36" t="s">
        <v>139</v>
      </c>
      <c r="F7" s="36" t="s">
        <v>337</v>
      </c>
    </row>
    <row r="8" customFormat="false" ht="15" hidden="false" customHeight="false" outlineLevel="0" collapsed="false">
      <c r="A8" s="36" t="n">
        <v>3</v>
      </c>
      <c r="B8" s="36" t="s">
        <v>183</v>
      </c>
      <c r="C8" s="36" t="s">
        <v>340</v>
      </c>
      <c r="D8" s="36" t="s">
        <v>341</v>
      </c>
      <c r="E8" s="36" t="s">
        <v>139</v>
      </c>
      <c r="F8" s="36" t="s">
        <v>337</v>
      </c>
    </row>
    <row r="9" customFormat="false" ht="15" hidden="false" customHeight="false" outlineLevel="0" collapsed="false">
      <c r="A9" s="36" t="n">
        <v>4</v>
      </c>
      <c r="B9" s="36" t="s">
        <v>186</v>
      </c>
      <c r="C9" s="36" t="s">
        <v>342</v>
      </c>
      <c r="D9" s="36" t="s">
        <v>343</v>
      </c>
      <c r="E9" s="36" t="s">
        <v>139</v>
      </c>
      <c r="F9" s="36" t="s">
        <v>337</v>
      </c>
    </row>
    <row r="10" customFormat="false" ht="15" hidden="false" customHeight="false" outlineLevel="0" collapsed="false">
      <c r="A10" s="36" t="n">
        <v>5</v>
      </c>
      <c r="B10" s="36" t="s">
        <v>193</v>
      </c>
      <c r="C10" s="36" t="s">
        <v>194</v>
      </c>
      <c r="D10" s="36" t="s">
        <v>344</v>
      </c>
      <c r="E10" s="36" t="s">
        <v>139</v>
      </c>
      <c r="F10" s="36" t="s">
        <v>345</v>
      </c>
    </row>
    <row r="11" customFormat="false" ht="15" hidden="false" customHeight="false" outlineLevel="0" collapsed="false">
      <c r="A11" s="36" t="n">
        <v>6</v>
      </c>
      <c r="B11" s="36" t="s">
        <v>189</v>
      </c>
      <c r="C11" s="36" t="s">
        <v>346</v>
      </c>
      <c r="D11" s="36" t="s">
        <v>347</v>
      </c>
      <c r="E11" s="36" t="s">
        <v>139</v>
      </c>
      <c r="F11" s="36" t="s">
        <v>337</v>
      </c>
    </row>
    <row r="14" customFormat="false" ht="15" hidden="false" customHeight="false" outlineLevel="0" collapsed="false">
      <c r="A14" s="16" t="s">
        <v>348</v>
      </c>
    </row>
    <row r="16" customFormat="false" ht="15" hidden="false" customHeight="false" outlineLevel="0" collapsed="false">
      <c r="A16" s="37" t="s">
        <v>349</v>
      </c>
    </row>
    <row r="17" customFormat="false" ht="15" hidden="false" customHeight="false" outlineLevel="0" collapsed="false">
      <c r="A17" s="12" t="s">
        <v>131</v>
      </c>
      <c r="B17" s="12" t="s">
        <v>132</v>
      </c>
      <c r="C17" s="12" t="s">
        <v>350</v>
      </c>
      <c r="D17" s="12" t="s">
        <v>3</v>
      </c>
      <c r="E17" s="12" t="s">
        <v>333</v>
      </c>
      <c r="F17" s="12" t="s">
        <v>334</v>
      </c>
    </row>
    <row r="18" customFormat="false" ht="15" hidden="false" customHeight="false" outlineLevel="0" collapsed="false">
      <c r="A18" s="9" t="n">
        <v>7</v>
      </c>
      <c r="B18" s="9" t="s">
        <v>351</v>
      </c>
      <c r="C18" s="9" t="s">
        <v>352</v>
      </c>
      <c r="D18" s="9" t="s">
        <v>353</v>
      </c>
      <c r="E18" s="9" t="s">
        <v>354</v>
      </c>
      <c r="F18" s="9" t="s">
        <v>355</v>
      </c>
    </row>
    <row r="19" customFormat="false" ht="15" hidden="false" customHeight="false" outlineLevel="0" collapsed="false">
      <c r="A19" s="9" t="n">
        <v>8</v>
      </c>
      <c r="B19" s="9" t="s">
        <v>356</v>
      </c>
      <c r="C19" s="9" t="s">
        <v>357</v>
      </c>
      <c r="D19" s="9" t="s">
        <v>358</v>
      </c>
      <c r="E19" s="9" t="s">
        <v>354</v>
      </c>
      <c r="F19" s="9" t="s">
        <v>355</v>
      </c>
    </row>
    <row r="20" customFormat="false" ht="15" hidden="false" customHeight="false" outlineLevel="0" collapsed="false">
      <c r="A20" s="9" t="n">
        <v>9</v>
      </c>
      <c r="B20" s="9" t="s">
        <v>359</v>
      </c>
      <c r="C20" s="9" t="s">
        <v>360</v>
      </c>
      <c r="D20" s="9" t="s">
        <v>361</v>
      </c>
      <c r="E20" s="9" t="s">
        <v>354</v>
      </c>
      <c r="F20" s="9" t="s">
        <v>355</v>
      </c>
    </row>
    <row r="21" customFormat="false" ht="15" hidden="false" customHeight="false" outlineLevel="0" collapsed="false">
      <c r="A21" s="9" t="n">
        <v>10</v>
      </c>
      <c r="B21" s="9" t="s">
        <v>362</v>
      </c>
      <c r="C21" s="9" t="s">
        <v>363</v>
      </c>
      <c r="D21" s="9" t="s">
        <v>364</v>
      </c>
      <c r="E21" s="9" t="s">
        <v>354</v>
      </c>
      <c r="F21" s="9" t="s">
        <v>355</v>
      </c>
    </row>
    <row r="22" customFormat="false" ht="15" hidden="false" customHeight="false" outlineLevel="0" collapsed="false">
      <c r="A22" s="9" t="n">
        <v>11</v>
      </c>
      <c r="B22" s="9" t="s">
        <v>365</v>
      </c>
      <c r="C22" s="9" t="s">
        <v>366</v>
      </c>
      <c r="D22" s="9" t="s">
        <v>367</v>
      </c>
      <c r="E22" s="9" t="s">
        <v>354</v>
      </c>
      <c r="F22" s="9" t="s">
        <v>355</v>
      </c>
    </row>
    <row r="23" customFormat="false" ht="15" hidden="false" customHeight="false" outlineLevel="0" collapsed="false">
      <c r="A23" s="9" t="n">
        <v>12</v>
      </c>
      <c r="B23" s="9" t="s">
        <v>368</v>
      </c>
      <c r="C23" s="9" t="s">
        <v>369</v>
      </c>
      <c r="D23" s="9" t="s">
        <v>370</v>
      </c>
      <c r="E23" s="9" t="s">
        <v>354</v>
      </c>
      <c r="F23" s="9" t="s">
        <v>355</v>
      </c>
    </row>
    <row r="24" customFormat="false" ht="15" hidden="false" customHeight="false" outlineLevel="0" collapsed="false">
      <c r="A24" s="9" t="n">
        <v>13</v>
      </c>
      <c r="B24" s="9" t="s">
        <v>371</v>
      </c>
      <c r="C24" s="9" t="s">
        <v>372</v>
      </c>
      <c r="D24" s="9" t="s">
        <v>373</v>
      </c>
      <c r="E24" s="9" t="s">
        <v>354</v>
      </c>
      <c r="F24" s="9" t="s">
        <v>355</v>
      </c>
    </row>
    <row r="25" customFormat="false" ht="15" hidden="false" customHeight="false" outlineLevel="0" collapsed="false">
      <c r="A25" s="9" t="n">
        <v>14</v>
      </c>
      <c r="B25" s="9" t="s">
        <v>374</v>
      </c>
      <c r="C25" s="9" t="s">
        <v>375</v>
      </c>
      <c r="D25" s="9" t="s">
        <v>376</v>
      </c>
      <c r="E25" s="9" t="s">
        <v>354</v>
      </c>
      <c r="F25" s="9" t="s">
        <v>355</v>
      </c>
    </row>
    <row r="26" customFormat="false" ht="15" hidden="false" customHeight="false" outlineLevel="0" collapsed="false">
      <c r="A26" s="9" t="n">
        <v>15</v>
      </c>
      <c r="B26" s="9" t="s">
        <v>377</v>
      </c>
      <c r="C26" s="9" t="s">
        <v>378</v>
      </c>
      <c r="D26" s="9" t="s">
        <v>379</v>
      </c>
      <c r="E26" s="9" t="s">
        <v>354</v>
      </c>
      <c r="F26" s="9" t="s">
        <v>355</v>
      </c>
    </row>
    <row r="27" customFormat="false" ht="15" hidden="false" customHeight="false" outlineLevel="0" collapsed="false">
      <c r="A27" s="9" t="n">
        <v>16</v>
      </c>
      <c r="B27" s="9" t="s">
        <v>380</v>
      </c>
      <c r="C27" s="9" t="s">
        <v>381</v>
      </c>
      <c r="D27" s="9" t="s">
        <v>382</v>
      </c>
      <c r="E27" s="9" t="s">
        <v>354</v>
      </c>
      <c r="F27" s="9" t="s">
        <v>355</v>
      </c>
    </row>
    <row r="28" customFormat="false" ht="15" hidden="false" customHeight="false" outlineLevel="0" collapsed="false">
      <c r="A28" s="9" t="n">
        <v>17</v>
      </c>
      <c r="B28" s="9" t="s">
        <v>383</v>
      </c>
      <c r="C28" s="9" t="s">
        <v>384</v>
      </c>
      <c r="D28" s="9" t="s">
        <v>385</v>
      </c>
      <c r="E28" s="9" t="s">
        <v>354</v>
      </c>
      <c r="F28" s="9" t="s">
        <v>355</v>
      </c>
    </row>
    <row r="29" customFormat="false" ht="15" hidden="false" customHeight="false" outlineLevel="0" collapsed="false">
      <c r="A29" s="9" t="n">
        <v>18</v>
      </c>
      <c r="B29" s="9" t="s">
        <v>386</v>
      </c>
      <c r="C29" s="9" t="s">
        <v>387</v>
      </c>
      <c r="D29" s="9" t="s">
        <v>388</v>
      </c>
      <c r="E29" s="9" t="s">
        <v>354</v>
      </c>
      <c r="F29" s="9" t="s">
        <v>355</v>
      </c>
    </row>
    <row r="30" customFormat="false" ht="15" hidden="false" customHeight="false" outlineLevel="0" collapsed="false">
      <c r="A30" s="9" t="n">
        <v>19</v>
      </c>
      <c r="B30" s="9" t="s">
        <v>389</v>
      </c>
      <c r="C30" s="9" t="s">
        <v>390</v>
      </c>
      <c r="D30" s="9" t="s">
        <v>391</v>
      </c>
      <c r="E30" s="9" t="s">
        <v>354</v>
      </c>
      <c r="F30" s="9" t="s">
        <v>355</v>
      </c>
    </row>
    <row r="31" customFormat="false" ht="15" hidden="false" customHeight="false" outlineLevel="0" collapsed="false">
      <c r="A31" s="9" t="n">
        <v>20</v>
      </c>
      <c r="B31" s="9" t="s">
        <v>392</v>
      </c>
      <c r="C31" s="9" t="s">
        <v>393</v>
      </c>
      <c r="D31" s="9" t="s">
        <v>394</v>
      </c>
      <c r="E31" s="9" t="s">
        <v>354</v>
      </c>
      <c r="F31" s="9" t="s">
        <v>355</v>
      </c>
    </row>
    <row r="32" customFormat="false" ht="15" hidden="false" customHeight="false" outlineLevel="0" collapsed="false">
      <c r="A32" s="9" t="n">
        <v>21</v>
      </c>
      <c r="B32" s="9" t="s">
        <v>395</v>
      </c>
      <c r="C32" s="9" t="s">
        <v>396</v>
      </c>
      <c r="D32" s="9" t="s">
        <v>397</v>
      </c>
      <c r="E32" s="9" t="s">
        <v>354</v>
      </c>
      <c r="F32" s="9" t="s">
        <v>355</v>
      </c>
    </row>
    <row r="33" customFormat="false" ht="15" hidden="false" customHeight="false" outlineLevel="0" collapsed="false">
      <c r="A33" s="9" t="n">
        <v>22</v>
      </c>
      <c r="B33" s="9" t="s">
        <v>398</v>
      </c>
      <c r="C33" s="9" t="s">
        <v>399</v>
      </c>
      <c r="D33" s="9" t="s">
        <v>400</v>
      </c>
      <c r="E33" s="9" t="s">
        <v>354</v>
      </c>
      <c r="F33" s="9" t="s">
        <v>355</v>
      </c>
    </row>
    <row r="34" customFormat="false" ht="15" hidden="false" customHeight="false" outlineLevel="0" collapsed="false">
      <c r="A34" s="9" t="n">
        <v>23</v>
      </c>
      <c r="B34" s="9" t="s">
        <v>219</v>
      </c>
      <c r="C34" s="9" t="s">
        <v>297</v>
      </c>
      <c r="D34" s="9" t="s">
        <v>221</v>
      </c>
      <c r="E34" s="9" t="s">
        <v>354</v>
      </c>
      <c r="F34" s="9" t="s">
        <v>355</v>
      </c>
    </row>
    <row r="35" customFormat="false" ht="15" hidden="false" customHeight="false" outlineLevel="0" collapsed="false">
      <c r="A35" s="9" t="n">
        <v>24</v>
      </c>
      <c r="B35" s="9" t="s">
        <v>206</v>
      </c>
      <c r="C35" s="9" t="s">
        <v>401</v>
      </c>
      <c r="D35" s="9" t="s">
        <v>402</v>
      </c>
      <c r="E35" s="9" t="s">
        <v>354</v>
      </c>
      <c r="F35" s="9" t="s">
        <v>355</v>
      </c>
    </row>
    <row r="36" customFormat="false" ht="15" hidden="false" customHeight="false" outlineLevel="0" collapsed="false">
      <c r="A36" s="9" t="n">
        <v>25</v>
      </c>
      <c r="B36" s="9" t="s">
        <v>209</v>
      </c>
      <c r="C36" s="9" t="s">
        <v>403</v>
      </c>
      <c r="D36" s="9" t="s">
        <v>404</v>
      </c>
      <c r="E36" s="9" t="s">
        <v>354</v>
      </c>
      <c r="F36" s="9" t="s">
        <v>355</v>
      </c>
    </row>
    <row r="39" customFormat="false" ht="15" hidden="false" customHeight="false" outlineLevel="0" collapsed="false">
      <c r="A39" s="15" t="s">
        <v>405</v>
      </c>
    </row>
    <row r="40" customFormat="false" ht="15" hidden="false" customHeight="false" outlineLevel="0" collapsed="false">
      <c r="A40" s="12" t="s">
        <v>406</v>
      </c>
      <c r="B40" s="12" t="s">
        <v>226</v>
      </c>
      <c r="C40" s="12" t="s">
        <v>407</v>
      </c>
      <c r="D40" s="12" t="s">
        <v>408</v>
      </c>
    </row>
    <row r="41" customFormat="false" ht="15" hidden="false" customHeight="false" outlineLevel="0" collapsed="false">
      <c r="A41" s="13" t="s">
        <v>409</v>
      </c>
      <c r="B41" s="13" t="s">
        <v>410</v>
      </c>
      <c r="C41" s="13" t="s">
        <v>411</v>
      </c>
      <c r="D41" s="13" t="s">
        <v>412</v>
      </c>
    </row>
    <row r="42" customFormat="false" ht="15" hidden="false" customHeight="false" outlineLevel="0" collapsed="false">
      <c r="A42" s="27" t="s">
        <v>413</v>
      </c>
      <c r="B42" s="27" t="s">
        <v>414</v>
      </c>
      <c r="C42" s="27" t="s">
        <v>415</v>
      </c>
      <c r="D42" s="27" t="s">
        <v>416</v>
      </c>
    </row>
    <row r="43" customFormat="false" ht="15" hidden="false" customHeight="false" outlineLevel="0" collapsed="false">
      <c r="A43" s="13" t="s">
        <v>417</v>
      </c>
      <c r="B43" s="13" t="s">
        <v>418</v>
      </c>
      <c r="C43" s="13" t="s">
        <v>419</v>
      </c>
      <c r="D43" s="13" t="s">
        <v>420</v>
      </c>
    </row>
    <row r="44" customFormat="false" ht="15" hidden="false" customHeight="false" outlineLevel="0" collapsed="false">
      <c r="A44" s="27" t="s">
        <v>421</v>
      </c>
      <c r="B44" s="27" t="s">
        <v>422</v>
      </c>
      <c r="C44" s="27" t="s">
        <v>423</v>
      </c>
      <c r="D44" s="27" t="s">
        <v>424</v>
      </c>
    </row>
    <row r="45" customFormat="false" ht="15" hidden="false" customHeight="false" outlineLevel="0" collapsed="false">
      <c r="A45" s="13" t="s">
        <v>425</v>
      </c>
      <c r="B45" s="13" t="s">
        <v>426</v>
      </c>
      <c r="C45" s="13" t="s">
        <v>427</v>
      </c>
      <c r="D45" s="13" t="s">
        <v>428</v>
      </c>
    </row>
    <row r="46" customFormat="false" ht="15" hidden="false" customHeight="false" outlineLevel="0" collapsed="false">
      <c r="A46" s="27" t="s">
        <v>429</v>
      </c>
      <c r="B46" s="27" t="s">
        <v>430</v>
      </c>
      <c r="C46" s="27" t="s">
        <v>431</v>
      </c>
      <c r="D46" s="27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7"/>
    <col collapsed="false" customWidth="true" hidden="false" outlineLevel="0" max="6" min="6" style="0" width="14"/>
    <col collapsed="false" customWidth="true" hidden="false" outlineLevel="0" max="7" min="7" style="0" width="21"/>
  </cols>
  <sheetData>
    <row r="1" customFormat="false" ht="17.35" hidden="false" customHeight="false" outlineLevel="0" collapsed="false">
      <c r="A1" s="10" t="s">
        <v>433</v>
      </c>
    </row>
    <row r="2" customFormat="false" ht="15" hidden="false" customHeight="false" outlineLevel="0" collapsed="false">
      <c r="A2" s="11" t="s">
        <v>434</v>
      </c>
    </row>
    <row r="4" customFormat="false" ht="15" hidden="false" customHeight="false" outlineLevel="0" collapsed="false">
      <c r="A4" s="15" t="s">
        <v>435</v>
      </c>
    </row>
    <row r="5" customFormat="false" ht="15" hidden="false" customHeight="false" outlineLevel="0" collapsed="false">
      <c r="A5" s="12" t="s">
        <v>131</v>
      </c>
      <c r="B5" s="12" t="s">
        <v>132</v>
      </c>
      <c r="C5" s="12" t="s">
        <v>436</v>
      </c>
      <c r="D5" s="12" t="s">
        <v>437</v>
      </c>
      <c r="E5" s="12" t="s">
        <v>47</v>
      </c>
      <c r="F5" s="12" t="s">
        <v>29</v>
      </c>
      <c r="G5" s="12" t="s">
        <v>135</v>
      </c>
    </row>
    <row r="6" customFormat="false" ht="15" hidden="false" customHeight="false" outlineLevel="0" collapsed="false">
      <c r="A6" s="13" t="n">
        <v>1</v>
      </c>
      <c r="B6" s="13" t="s">
        <v>183</v>
      </c>
      <c r="C6" s="13" t="s">
        <v>438</v>
      </c>
      <c r="D6" s="13" t="s">
        <v>48</v>
      </c>
      <c r="E6" s="13" t="s">
        <v>50</v>
      </c>
      <c r="F6" s="13" t="s">
        <v>31</v>
      </c>
      <c r="G6" s="13"/>
    </row>
    <row r="7" customFormat="false" ht="15" hidden="false" customHeight="false" outlineLevel="0" collapsed="false">
      <c r="A7" s="14" t="n">
        <v>2</v>
      </c>
      <c r="B7" s="14" t="s">
        <v>439</v>
      </c>
      <c r="C7" s="14" t="s">
        <v>440</v>
      </c>
      <c r="D7" s="14" t="s">
        <v>52</v>
      </c>
      <c r="E7" s="14" t="s">
        <v>54</v>
      </c>
      <c r="F7" s="14" t="s">
        <v>31</v>
      </c>
      <c r="G7" s="14"/>
    </row>
    <row r="8" customFormat="false" ht="15" hidden="false" customHeight="false" outlineLevel="0" collapsed="false">
      <c r="A8" s="13" t="n">
        <v>3</v>
      </c>
      <c r="B8" s="13" t="s">
        <v>22</v>
      </c>
      <c r="C8" s="13" t="s">
        <v>441</v>
      </c>
      <c r="D8" s="13" t="s">
        <v>56</v>
      </c>
      <c r="E8" s="13" t="s">
        <v>58</v>
      </c>
      <c r="F8" s="13" t="s">
        <v>31</v>
      </c>
      <c r="G8" s="13"/>
    </row>
    <row r="9" customFormat="false" ht="15" hidden="false" customHeight="false" outlineLevel="0" collapsed="false">
      <c r="A9" s="14" t="n">
        <v>4</v>
      </c>
      <c r="B9" s="14" t="s">
        <v>442</v>
      </c>
      <c r="C9" s="14" t="s">
        <v>443</v>
      </c>
      <c r="D9" s="14" t="s">
        <v>60</v>
      </c>
      <c r="E9" s="14" t="s">
        <v>62</v>
      </c>
      <c r="F9" s="14" t="s">
        <v>31</v>
      </c>
      <c r="G9" s="14"/>
    </row>
    <row r="10" customFormat="false" ht="15" hidden="false" customHeight="false" outlineLevel="0" collapsed="false">
      <c r="A10" s="13" t="n">
        <v>5</v>
      </c>
      <c r="B10" s="13" t="s">
        <v>444</v>
      </c>
      <c r="C10" s="13" t="s">
        <v>445</v>
      </c>
      <c r="D10" s="13" t="s">
        <v>63</v>
      </c>
      <c r="E10" s="13" t="s">
        <v>65</v>
      </c>
      <c r="F10" s="13" t="s">
        <v>31</v>
      </c>
      <c r="G10" s="13"/>
    </row>
    <row r="11" customFormat="false" ht="15" hidden="false" customHeight="false" outlineLevel="0" collapsed="false">
      <c r="A11" s="14" t="n">
        <v>6</v>
      </c>
      <c r="B11" s="14" t="s">
        <v>446</v>
      </c>
      <c r="C11" s="14" t="s">
        <v>447</v>
      </c>
      <c r="D11" s="14" t="s">
        <v>66</v>
      </c>
      <c r="E11" s="14" t="s">
        <v>68</v>
      </c>
      <c r="F11" s="14" t="s">
        <v>31</v>
      </c>
      <c r="G11" s="14"/>
    </row>
    <row r="12" customFormat="false" ht="15" hidden="false" customHeight="false" outlineLevel="0" collapsed="false">
      <c r="A12" s="13" t="n">
        <v>7</v>
      </c>
      <c r="B12" s="13" t="s">
        <v>448</v>
      </c>
      <c r="C12" s="13" t="s">
        <v>449</v>
      </c>
      <c r="D12" s="13" t="s">
        <v>69</v>
      </c>
      <c r="E12" s="13" t="s">
        <v>71</v>
      </c>
      <c r="F12" s="13" t="s">
        <v>31</v>
      </c>
      <c r="G12" s="13"/>
    </row>
    <row r="13" customFormat="false" ht="15" hidden="false" customHeight="false" outlineLevel="0" collapsed="false">
      <c r="A13" s="14" t="n">
        <v>8</v>
      </c>
      <c r="B13" s="14" t="s">
        <v>186</v>
      </c>
      <c r="C13" s="14" t="s">
        <v>450</v>
      </c>
      <c r="D13" s="14" t="s">
        <v>48</v>
      </c>
      <c r="E13" s="14" t="s">
        <v>50</v>
      </c>
      <c r="F13" s="14" t="s">
        <v>34</v>
      </c>
      <c r="G13" s="14" t="s">
        <v>178</v>
      </c>
    </row>
    <row r="14" customFormat="false" ht="15" hidden="false" customHeight="false" outlineLevel="0" collapsed="false">
      <c r="A14" s="13" t="n">
        <v>9</v>
      </c>
      <c r="B14" s="13" t="s">
        <v>451</v>
      </c>
      <c r="C14" s="13" t="s">
        <v>284</v>
      </c>
      <c r="D14" s="13" t="s">
        <v>452</v>
      </c>
      <c r="E14" s="13" t="s">
        <v>453</v>
      </c>
      <c r="F14" s="13" t="s">
        <v>34</v>
      </c>
      <c r="G14" s="13" t="s">
        <v>178</v>
      </c>
    </row>
    <row r="15" customFormat="false" ht="23.85" hidden="false" customHeight="false" outlineLevel="0" collapsed="false">
      <c r="A15" s="14" t="n">
        <v>10</v>
      </c>
      <c r="B15" s="14" t="s">
        <v>193</v>
      </c>
      <c r="C15" s="14" t="s">
        <v>289</v>
      </c>
      <c r="D15" s="14" t="s">
        <v>454</v>
      </c>
      <c r="E15" s="14" t="s">
        <v>455</v>
      </c>
      <c r="F15" s="14" t="s">
        <v>41</v>
      </c>
      <c r="G15" s="14" t="s">
        <v>456</v>
      </c>
    </row>
    <row r="18" customFormat="false" ht="15" hidden="false" customHeight="false" outlineLevel="0" collapsed="false">
      <c r="A18" s="15" t="s">
        <v>457</v>
      </c>
    </row>
    <row r="19" customFormat="false" ht="15" hidden="false" customHeight="false" outlineLevel="0" collapsed="false">
      <c r="A19" s="12" t="s">
        <v>131</v>
      </c>
      <c r="B19" s="12" t="s">
        <v>132</v>
      </c>
      <c r="C19" s="12" t="s">
        <v>436</v>
      </c>
      <c r="D19" s="12" t="s">
        <v>458</v>
      </c>
      <c r="E19" s="12" t="s">
        <v>459</v>
      </c>
      <c r="F19" s="12" t="s">
        <v>29</v>
      </c>
      <c r="G19" s="12" t="s">
        <v>135</v>
      </c>
    </row>
    <row r="20" customFormat="false" ht="15" hidden="false" customHeight="false" outlineLevel="0" collapsed="false">
      <c r="A20" s="13" t="n">
        <v>11</v>
      </c>
      <c r="B20" s="13" t="s">
        <v>351</v>
      </c>
      <c r="C20" s="13" t="s">
        <v>460</v>
      </c>
      <c r="D20" s="13" t="s">
        <v>56</v>
      </c>
      <c r="E20" s="13" t="s">
        <v>461</v>
      </c>
      <c r="F20" s="13" t="s">
        <v>36</v>
      </c>
      <c r="G20" s="13" t="s">
        <v>462</v>
      </c>
    </row>
    <row r="21" customFormat="false" ht="15" hidden="false" customHeight="false" outlineLevel="0" collapsed="false">
      <c r="A21" s="14" t="n">
        <v>12</v>
      </c>
      <c r="B21" s="14" t="s">
        <v>356</v>
      </c>
      <c r="C21" s="14" t="s">
        <v>463</v>
      </c>
      <c r="D21" s="14" t="s">
        <v>60</v>
      </c>
      <c r="E21" s="14" t="s">
        <v>461</v>
      </c>
      <c r="F21" s="14" t="s">
        <v>36</v>
      </c>
      <c r="G21" s="14" t="s">
        <v>462</v>
      </c>
    </row>
    <row r="22" customFormat="false" ht="15" hidden="false" customHeight="false" outlineLevel="0" collapsed="false">
      <c r="A22" s="13" t="n">
        <v>13</v>
      </c>
      <c r="B22" s="13" t="s">
        <v>359</v>
      </c>
      <c r="C22" s="13" t="s">
        <v>464</v>
      </c>
      <c r="D22" s="13" t="s">
        <v>63</v>
      </c>
      <c r="E22" s="13" t="s">
        <v>461</v>
      </c>
      <c r="F22" s="13" t="s">
        <v>36</v>
      </c>
      <c r="G22" s="13" t="s">
        <v>462</v>
      </c>
    </row>
    <row r="23" customFormat="false" ht="15" hidden="false" customHeight="false" outlineLevel="0" collapsed="false">
      <c r="A23" s="14" t="n">
        <v>14</v>
      </c>
      <c r="B23" s="14" t="s">
        <v>362</v>
      </c>
      <c r="C23" s="14" t="s">
        <v>465</v>
      </c>
      <c r="D23" s="14" t="s">
        <v>56</v>
      </c>
      <c r="E23" s="14" t="s">
        <v>466</v>
      </c>
      <c r="F23" s="14" t="s">
        <v>36</v>
      </c>
      <c r="G23" s="14" t="s">
        <v>467</v>
      </c>
    </row>
    <row r="24" customFormat="false" ht="15" hidden="false" customHeight="false" outlineLevel="0" collapsed="false">
      <c r="A24" s="13" t="n">
        <v>15</v>
      </c>
      <c r="B24" s="13" t="s">
        <v>365</v>
      </c>
      <c r="C24" s="13" t="s">
        <v>468</v>
      </c>
      <c r="D24" s="13" t="s">
        <v>60</v>
      </c>
      <c r="E24" s="13" t="s">
        <v>466</v>
      </c>
      <c r="F24" s="13" t="s">
        <v>36</v>
      </c>
      <c r="G24" s="13" t="s">
        <v>467</v>
      </c>
    </row>
    <row r="25" customFormat="false" ht="15" hidden="false" customHeight="false" outlineLevel="0" collapsed="false">
      <c r="A25" s="14" t="n">
        <v>16</v>
      </c>
      <c r="B25" s="14" t="s">
        <v>368</v>
      </c>
      <c r="C25" s="14" t="s">
        <v>469</v>
      </c>
      <c r="D25" s="14" t="s">
        <v>63</v>
      </c>
      <c r="E25" s="14" t="s">
        <v>466</v>
      </c>
      <c r="F25" s="14" t="s">
        <v>36</v>
      </c>
      <c r="G25" s="14" t="s">
        <v>467</v>
      </c>
    </row>
    <row r="26" customFormat="false" ht="15" hidden="false" customHeight="false" outlineLevel="0" collapsed="false">
      <c r="A26" s="13" t="n">
        <v>17</v>
      </c>
      <c r="B26" s="13" t="s">
        <v>371</v>
      </c>
      <c r="C26" s="13" t="s">
        <v>470</v>
      </c>
      <c r="D26" s="13" t="s">
        <v>56</v>
      </c>
      <c r="E26" s="13" t="s">
        <v>471</v>
      </c>
      <c r="F26" s="13" t="s">
        <v>36</v>
      </c>
      <c r="G26" s="13" t="s">
        <v>472</v>
      </c>
    </row>
    <row r="27" customFormat="false" ht="15" hidden="false" customHeight="false" outlineLevel="0" collapsed="false">
      <c r="A27" s="14" t="n">
        <v>18</v>
      </c>
      <c r="B27" s="14" t="s">
        <v>374</v>
      </c>
      <c r="C27" s="14" t="s">
        <v>473</v>
      </c>
      <c r="D27" s="14" t="s">
        <v>60</v>
      </c>
      <c r="E27" s="14" t="s">
        <v>471</v>
      </c>
      <c r="F27" s="14" t="s">
        <v>36</v>
      </c>
      <c r="G27" s="14" t="s">
        <v>472</v>
      </c>
    </row>
    <row r="28" customFormat="false" ht="15" hidden="false" customHeight="false" outlineLevel="0" collapsed="false">
      <c r="A28" s="13" t="n">
        <v>19</v>
      </c>
      <c r="B28" s="13" t="s">
        <v>474</v>
      </c>
      <c r="C28" s="13" t="s">
        <v>475</v>
      </c>
      <c r="D28" s="13" t="s">
        <v>63</v>
      </c>
      <c r="E28" s="13" t="s">
        <v>471</v>
      </c>
      <c r="F28" s="13" t="s">
        <v>36</v>
      </c>
      <c r="G28" s="13" t="s">
        <v>472</v>
      </c>
    </row>
    <row r="29" customFormat="false" ht="15" hidden="false" customHeight="false" outlineLevel="0" collapsed="false">
      <c r="A29" s="14" t="n">
        <v>20</v>
      </c>
      <c r="B29" s="14" t="s">
        <v>377</v>
      </c>
      <c r="C29" s="14" t="s">
        <v>476</v>
      </c>
      <c r="D29" s="14" t="s">
        <v>56</v>
      </c>
      <c r="E29" s="14" t="s">
        <v>477</v>
      </c>
      <c r="F29" s="14" t="s">
        <v>36</v>
      </c>
      <c r="G29" s="14" t="s">
        <v>478</v>
      </c>
    </row>
    <row r="30" customFormat="false" ht="15" hidden="false" customHeight="false" outlineLevel="0" collapsed="false">
      <c r="A30" s="13" t="n">
        <v>21</v>
      </c>
      <c r="B30" s="13" t="s">
        <v>380</v>
      </c>
      <c r="C30" s="13" t="s">
        <v>479</v>
      </c>
      <c r="D30" s="13" t="s">
        <v>60</v>
      </c>
      <c r="E30" s="13" t="s">
        <v>477</v>
      </c>
      <c r="F30" s="13" t="s">
        <v>36</v>
      </c>
      <c r="G30" s="13" t="s">
        <v>478</v>
      </c>
    </row>
    <row r="31" customFormat="false" ht="15" hidden="false" customHeight="false" outlineLevel="0" collapsed="false">
      <c r="A31" s="14" t="n">
        <v>22</v>
      </c>
      <c r="B31" s="14" t="s">
        <v>480</v>
      </c>
      <c r="C31" s="14" t="s">
        <v>481</v>
      </c>
      <c r="D31" s="14" t="s">
        <v>63</v>
      </c>
      <c r="E31" s="14" t="s">
        <v>477</v>
      </c>
      <c r="F31" s="14" t="s">
        <v>36</v>
      </c>
      <c r="G31" s="14" t="s">
        <v>478</v>
      </c>
    </row>
    <row r="34" customFormat="false" ht="15" hidden="false" customHeight="false" outlineLevel="0" collapsed="false">
      <c r="A34" s="15" t="s">
        <v>482</v>
      </c>
    </row>
    <row r="35" customFormat="false" ht="15" hidden="false" customHeight="false" outlineLevel="0" collapsed="false">
      <c r="A35" s="12" t="s">
        <v>131</v>
      </c>
      <c r="B35" s="12" t="s">
        <v>132</v>
      </c>
      <c r="C35" s="12" t="s">
        <v>436</v>
      </c>
      <c r="D35" s="12" t="s">
        <v>29</v>
      </c>
      <c r="E35" s="12" t="s">
        <v>135</v>
      </c>
      <c r="F35" s="12"/>
      <c r="G35" s="12"/>
    </row>
    <row r="36" customFormat="false" ht="15" hidden="false" customHeight="false" outlineLevel="0" collapsed="false">
      <c r="A36" s="13" t="n">
        <v>23</v>
      </c>
      <c r="B36" s="13" t="s">
        <v>383</v>
      </c>
      <c r="C36" s="13" t="s">
        <v>483</v>
      </c>
      <c r="D36" s="13" t="s">
        <v>39</v>
      </c>
      <c r="E36" s="13" t="s">
        <v>484</v>
      </c>
      <c r="F36" s="13"/>
      <c r="G36" s="13"/>
    </row>
    <row r="37" customFormat="false" ht="15" hidden="false" customHeight="false" outlineLevel="0" collapsed="false">
      <c r="A37" s="14" t="n">
        <v>24</v>
      </c>
      <c r="B37" s="14" t="s">
        <v>386</v>
      </c>
      <c r="C37" s="14" t="s">
        <v>387</v>
      </c>
      <c r="D37" s="14" t="s">
        <v>39</v>
      </c>
      <c r="E37" s="14"/>
      <c r="F37" s="14"/>
      <c r="G37" s="14"/>
    </row>
    <row r="38" customFormat="false" ht="15" hidden="false" customHeight="false" outlineLevel="0" collapsed="false">
      <c r="A38" s="13" t="n">
        <v>25</v>
      </c>
      <c r="B38" s="13" t="s">
        <v>389</v>
      </c>
      <c r="C38" s="13" t="s">
        <v>390</v>
      </c>
      <c r="D38" s="13" t="s">
        <v>39</v>
      </c>
      <c r="E38" s="13"/>
      <c r="F38" s="13"/>
      <c r="G38" s="13"/>
    </row>
    <row r="39" customFormat="false" ht="15" hidden="false" customHeight="false" outlineLevel="0" collapsed="false">
      <c r="A39" s="14" t="n">
        <v>26</v>
      </c>
      <c r="B39" s="14" t="s">
        <v>392</v>
      </c>
      <c r="C39" s="14" t="s">
        <v>393</v>
      </c>
      <c r="D39" s="14" t="s">
        <v>39</v>
      </c>
      <c r="E39" s="14"/>
      <c r="F39" s="14"/>
      <c r="G39" s="14"/>
    </row>
    <row r="40" customFormat="false" ht="15" hidden="false" customHeight="false" outlineLevel="0" collapsed="false">
      <c r="A40" s="13" t="n">
        <v>27</v>
      </c>
      <c r="B40" s="13" t="s">
        <v>395</v>
      </c>
      <c r="C40" s="13" t="s">
        <v>396</v>
      </c>
      <c r="D40" s="13" t="s">
        <v>39</v>
      </c>
      <c r="E40" s="13" t="s">
        <v>485</v>
      </c>
      <c r="F40" s="13"/>
      <c r="G40" s="13"/>
    </row>
    <row r="41" customFormat="false" ht="15" hidden="false" customHeight="false" outlineLevel="0" collapsed="false">
      <c r="A41" s="14" t="n">
        <v>28</v>
      </c>
      <c r="B41" s="14" t="s">
        <v>398</v>
      </c>
      <c r="C41" s="14" t="s">
        <v>399</v>
      </c>
      <c r="D41" s="14" t="s">
        <v>39</v>
      </c>
      <c r="E41" s="14" t="s">
        <v>486</v>
      </c>
      <c r="F41" s="14"/>
      <c r="G41" s="14"/>
    </row>
    <row r="42" customFormat="false" ht="15" hidden="false" customHeight="false" outlineLevel="0" collapsed="false">
      <c r="A42" s="13" t="n">
        <v>29</v>
      </c>
      <c r="B42" s="13" t="s">
        <v>219</v>
      </c>
      <c r="C42" s="13" t="s">
        <v>297</v>
      </c>
      <c r="D42" s="13" t="s">
        <v>39</v>
      </c>
      <c r="E42" s="13" t="s">
        <v>487</v>
      </c>
      <c r="F42" s="13"/>
      <c r="G42" s="13"/>
    </row>
    <row r="45" customFormat="false" ht="15" hidden="false" customHeight="false" outlineLevel="0" collapsed="false">
      <c r="A45" s="15" t="s">
        <v>488</v>
      </c>
    </row>
    <row r="46" customFormat="false" ht="15" hidden="false" customHeight="false" outlineLevel="0" collapsed="false">
      <c r="A46" s="12" t="s">
        <v>131</v>
      </c>
      <c r="B46" s="12" t="s">
        <v>132</v>
      </c>
      <c r="C46" s="12" t="s">
        <v>436</v>
      </c>
      <c r="D46" s="12" t="s">
        <v>29</v>
      </c>
      <c r="E46" s="12" t="s">
        <v>135</v>
      </c>
      <c r="F46" s="12"/>
      <c r="G46" s="12"/>
    </row>
    <row r="47" customFormat="false" ht="15" hidden="false" customHeight="false" outlineLevel="0" collapsed="false">
      <c r="A47" s="13" t="n">
        <v>30</v>
      </c>
      <c r="B47" s="13" t="s">
        <v>206</v>
      </c>
      <c r="C47" s="13" t="s">
        <v>401</v>
      </c>
      <c r="D47" s="13" t="s">
        <v>41</v>
      </c>
      <c r="E47" s="13" t="s">
        <v>489</v>
      </c>
      <c r="F47" s="13"/>
      <c r="G47" s="13"/>
    </row>
    <row r="48" customFormat="false" ht="15" hidden="false" customHeight="false" outlineLevel="0" collapsed="false">
      <c r="A48" s="14" t="n">
        <v>31</v>
      </c>
      <c r="B48" s="14" t="s">
        <v>209</v>
      </c>
      <c r="C48" s="14" t="s">
        <v>403</v>
      </c>
      <c r="D48" s="14" t="s">
        <v>41</v>
      </c>
      <c r="E48" s="14" t="s">
        <v>490</v>
      </c>
      <c r="F48" s="14"/>
      <c r="G48" s="14"/>
    </row>
    <row r="49" customFormat="false" ht="15" hidden="false" customHeight="false" outlineLevel="0" collapsed="false">
      <c r="A49" s="13" t="n">
        <v>32</v>
      </c>
      <c r="B49" s="13" t="s">
        <v>491</v>
      </c>
      <c r="C49" s="13" t="s">
        <v>492</v>
      </c>
      <c r="D49" s="13" t="s">
        <v>41</v>
      </c>
      <c r="E49" s="13" t="s">
        <v>493</v>
      </c>
      <c r="F49" s="13"/>
      <c r="G49" s="13"/>
    </row>
    <row r="50" customFormat="false" ht="15" hidden="false" customHeight="false" outlineLevel="0" collapsed="false">
      <c r="A50" s="14" t="n">
        <v>33</v>
      </c>
      <c r="B50" s="14" t="s">
        <v>212</v>
      </c>
      <c r="C50" s="14" t="s">
        <v>295</v>
      </c>
      <c r="D50" s="14" t="s">
        <v>41</v>
      </c>
      <c r="E50" s="14" t="s">
        <v>215</v>
      </c>
      <c r="F50" s="14"/>
      <c r="G50" s="14"/>
    </row>
    <row r="51" customFormat="false" ht="15" hidden="false" customHeight="false" outlineLevel="0" collapsed="false">
      <c r="A51" s="13" t="n">
        <v>34</v>
      </c>
      <c r="B51" s="13" t="s">
        <v>494</v>
      </c>
      <c r="C51" s="13" t="s">
        <v>495</v>
      </c>
      <c r="D51" s="13" t="s">
        <v>41</v>
      </c>
      <c r="E51" s="13" t="s">
        <v>496</v>
      </c>
      <c r="F51" s="13"/>
      <c r="G5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8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0" t="s">
        <v>497</v>
      </c>
    </row>
    <row r="3" customFormat="false" ht="15" hidden="false" customHeight="false" outlineLevel="0" collapsed="false">
      <c r="A3" s="12" t="s">
        <v>498</v>
      </c>
      <c r="B3" s="12" t="s">
        <v>6</v>
      </c>
      <c r="C3" s="12" t="s">
        <v>10</v>
      </c>
      <c r="D3" s="12" t="s">
        <v>14</v>
      </c>
    </row>
    <row r="4" customFormat="false" ht="15" hidden="false" customHeight="false" outlineLevel="0" collapsed="false">
      <c r="A4" s="38" t="s">
        <v>499</v>
      </c>
      <c r="B4" s="4" t="s">
        <v>500</v>
      </c>
      <c r="C4" s="5" t="s">
        <v>501</v>
      </c>
      <c r="D4" s="6" t="s">
        <v>501</v>
      </c>
    </row>
    <row r="5" customFormat="false" ht="15" hidden="false" customHeight="false" outlineLevel="0" collapsed="false">
      <c r="A5" s="38" t="s">
        <v>502</v>
      </c>
      <c r="B5" s="4" t="s">
        <v>503</v>
      </c>
      <c r="C5" s="5" t="s">
        <v>504</v>
      </c>
      <c r="D5" s="6" t="s">
        <v>504</v>
      </c>
    </row>
    <row r="6" customFormat="false" ht="15" hidden="false" customHeight="false" outlineLevel="0" collapsed="false">
      <c r="A6" s="38" t="s">
        <v>505</v>
      </c>
      <c r="B6" s="4" t="s">
        <v>506</v>
      </c>
      <c r="C6" s="5" t="s">
        <v>507</v>
      </c>
      <c r="D6" s="6" t="s">
        <v>508</v>
      </c>
    </row>
    <row r="7" customFormat="false" ht="15" hidden="false" customHeight="false" outlineLevel="0" collapsed="false">
      <c r="A7" s="38" t="s">
        <v>509</v>
      </c>
      <c r="B7" s="4" t="s">
        <v>506</v>
      </c>
      <c r="C7" s="5" t="s">
        <v>510</v>
      </c>
      <c r="D7" s="6" t="s">
        <v>508</v>
      </c>
    </row>
    <row r="8" customFormat="false" ht="15" hidden="false" customHeight="false" outlineLevel="0" collapsed="false">
      <c r="A8" s="38" t="s">
        <v>511</v>
      </c>
      <c r="B8" s="4" t="s">
        <v>506</v>
      </c>
      <c r="C8" s="5" t="s">
        <v>510</v>
      </c>
      <c r="D8" s="6" t="s">
        <v>512</v>
      </c>
    </row>
    <row r="9" customFormat="false" ht="15" hidden="false" customHeight="false" outlineLevel="0" collapsed="false">
      <c r="A9" s="38" t="s">
        <v>513</v>
      </c>
      <c r="B9" s="4" t="s">
        <v>514</v>
      </c>
      <c r="C9" s="5" t="s">
        <v>515</v>
      </c>
      <c r="D9" s="6" t="s">
        <v>516</v>
      </c>
    </row>
    <row r="10" customFormat="false" ht="15" hidden="false" customHeight="false" outlineLevel="0" collapsed="false">
      <c r="A10" s="38" t="s">
        <v>517</v>
      </c>
      <c r="B10" s="4" t="s">
        <v>518</v>
      </c>
      <c r="C10" s="5" t="s">
        <v>519</v>
      </c>
      <c r="D10" s="6" t="s">
        <v>520</v>
      </c>
    </row>
    <row r="11" customFormat="false" ht="15" hidden="false" customHeight="false" outlineLevel="0" collapsed="false">
      <c r="A11" s="38" t="s">
        <v>521</v>
      </c>
      <c r="B11" s="4" t="s">
        <v>522</v>
      </c>
      <c r="C11" s="5" t="s">
        <v>523</v>
      </c>
      <c r="D11" s="6" t="s">
        <v>522</v>
      </c>
    </row>
    <row r="12" customFormat="false" ht="15" hidden="false" customHeight="false" outlineLevel="0" collapsed="false">
      <c r="A12" s="38" t="s">
        <v>524</v>
      </c>
      <c r="B12" s="4" t="s">
        <v>525</v>
      </c>
      <c r="C12" s="5" t="s">
        <v>313</v>
      </c>
      <c r="D12" s="6" t="s">
        <v>526</v>
      </c>
    </row>
    <row r="13" customFormat="false" ht="15" hidden="false" customHeight="false" outlineLevel="0" collapsed="false">
      <c r="A13" s="38" t="s">
        <v>527</v>
      </c>
      <c r="B13" s="4" t="s">
        <v>528</v>
      </c>
      <c r="C13" s="5" t="s">
        <v>529</v>
      </c>
      <c r="D13" s="6" t="s">
        <v>530</v>
      </c>
    </row>
    <row r="14" customFormat="false" ht="15" hidden="false" customHeight="false" outlineLevel="0" collapsed="false">
      <c r="A14" s="38" t="s">
        <v>531</v>
      </c>
      <c r="B14" s="4" t="s">
        <v>532</v>
      </c>
      <c r="C14" s="5" t="s">
        <v>533</v>
      </c>
      <c r="D14" s="6" t="s">
        <v>534</v>
      </c>
    </row>
    <row r="15" customFormat="false" ht="15" hidden="false" customHeight="false" outlineLevel="0" collapsed="false">
      <c r="A15" s="38" t="s">
        <v>535</v>
      </c>
      <c r="B15" s="4" t="s">
        <v>536</v>
      </c>
      <c r="C15" s="5" t="s">
        <v>537</v>
      </c>
      <c r="D15" s="6" t="s">
        <v>538</v>
      </c>
    </row>
    <row r="16" customFormat="false" ht="15" hidden="false" customHeight="false" outlineLevel="0" collapsed="false">
      <c r="A16" s="38" t="s">
        <v>539</v>
      </c>
      <c r="B16" s="4" t="s">
        <v>22</v>
      </c>
      <c r="C16" s="5" t="s">
        <v>25</v>
      </c>
      <c r="D16" s="6" t="s">
        <v>540</v>
      </c>
    </row>
    <row r="17" customFormat="false" ht="15" hidden="false" customHeight="false" outlineLevel="0" collapsed="false">
      <c r="A17" s="38" t="s">
        <v>541</v>
      </c>
      <c r="B17" s="4" t="s">
        <v>542</v>
      </c>
      <c r="C17" s="5" t="s">
        <v>543</v>
      </c>
      <c r="D17" s="6" t="s">
        <v>544</v>
      </c>
    </row>
    <row r="18" customFormat="false" ht="15" hidden="false" customHeight="false" outlineLevel="0" collapsed="false">
      <c r="A18" s="38" t="s">
        <v>545</v>
      </c>
      <c r="B18" s="4" t="s">
        <v>546</v>
      </c>
      <c r="C18" s="5" t="s">
        <v>547</v>
      </c>
      <c r="D18" s="6" t="s">
        <v>548</v>
      </c>
    </row>
    <row r="19" customFormat="false" ht="15" hidden="false" customHeight="false" outlineLevel="0" collapsed="false">
      <c r="A19" s="38" t="s">
        <v>549</v>
      </c>
      <c r="B19" s="4" t="s">
        <v>354</v>
      </c>
      <c r="C19" s="5" t="s">
        <v>550</v>
      </c>
      <c r="D19" s="6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37"/>
  </cols>
  <sheetData>
    <row r="1" customFormat="false" ht="17.35" hidden="false" customHeight="false" outlineLevel="0" collapsed="false">
      <c r="A1" s="10" t="s">
        <v>552</v>
      </c>
    </row>
    <row r="3" customFormat="false" ht="15" hidden="false" customHeight="false" outlineLevel="0" collapsed="false">
      <c r="A3" s="15" t="s">
        <v>553</v>
      </c>
    </row>
    <row r="4" customFormat="false" ht="15" hidden="false" customHeight="false" outlineLevel="0" collapsed="false">
      <c r="A4" s="12" t="s">
        <v>108</v>
      </c>
      <c r="B4" s="12" t="s">
        <v>554</v>
      </c>
      <c r="C4" s="12" t="s">
        <v>555</v>
      </c>
      <c r="D4" s="12" t="s">
        <v>556</v>
      </c>
      <c r="E4" s="12" t="s">
        <v>557</v>
      </c>
    </row>
    <row r="5" customFormat="false" ht="15" hidden="false" customHeight="false" outlineLevel="0" collapsed="false">
      <c r="A5" s="9" t="s">
        <v>111</v>
      </c>
      <c r="B5" s="9" t="s">
        <v>558</v>
      </c>
      <c r="C5" s="9" t="s">
        <v>559</v>
      </c>
      <c r="D5" s="9" t="s">
        <v>560</v>
      </c>
      <c r="E5" s="9" t="s">
        <v>561</v>
      </c>
    </row>
    <row r="6" customFormat="false" ht="15" hidden="false" customHeight="false" outlineLevel="0" collapsed="false">
      <c r="A6" s="29" t="s">
        <v>111</v>
      </c>
      <c r="B6" s="29" t="s">
        <v>562</v>
      </c>
      <c r="C6" s="29" t="s">
        <v>563</v>
      </c>
      <c r="D6" s="29" t="s">
        <v>564</v>
      </c>
      <c r="E6" s="29" t="s">
        <v>565</v>
      </c>
    </row>
    <row r="7" customFormat="false" ht="15" hidden="false" customHeight="false" outlineLevel="0" collapsed="false">
      <c r="A7" s="29" t="s">
        <v>111</v>
      </c>
      <c r="B7" s="29" t="s">
        <v>566</v>
      </c>
      <c r="C7" s="29" t="s">
        <v>567</v>
      </c>
      <c r="D7" s="29" t="s">
        <v>568</v>
      </c>
      <c r="E7" s="29" t="s">
        <v>569</v>
      </c>
    </row>
    <row r="8" customFormat="false" ht="15" hidden="false" customHeight="false" outlineLevel="0" collapsed="false">
      <c r="A8" s="9" t="s">
        <v>570</v>
      </c>
      <c r="B8" s="9" t="s">
        <v>571</v>
      </c>
      <c r="C8" s="9" t="s">
        <v>559</v>
      </c>
      <c r="D8" s="9" t="s">
        <v>572</v>
      </c>
      <c r="E8" s="9" t="s">
        <v>561</v>
      </c>
    </row>
    <row r="9" customFormat="false" ht="15" hidden="false" customHeight="false" outlineLevel="0" collapsed="false">
      <c r="A9" s="9" t="s">
        <v>570</v>
      </c>
      <c r="B9" s="9" t="s">
        <v>573</v>
      </c>
      <c r="C9" s="9" t="s">
        <v>574</v>
      </c>
      <c r="D9" s="9" t="s">
        <v>575</v>
      </c>
      <c r="E9" s="9" t="s">
        <v>561</v>
      </c>
    </row>
    <row r="10" customFormat="false" ht="15" hidden="false" customHeight="false" outlineLevel="0" collapsed="false">
      <c r="A10" s="29" t="s">
        <v>114</v>
      </c>
      <c r="B10" s="29" t="s">
        <v>576</v>
      </c>
      <c r="C10" s="29" t="s">
        <v>577</v>
      </c>
      <c r="D10" s="29" t="s">
        <v>578</v>
      </c>
      <c r="E10" s="29" t="s">
        <v>579</v>
      </c>
    </row>
    <row r="11" customFormat="false" ht="15" hidden="false" customHeight="false" outlineLevel="0" collapsed="false">
      <c r="A11" s="9" t="s">
        <v>114</v>
      </c>
      <c r="B11" s="9" t="s">
        <v>580</v>
      </c>
      <c r="C11" s="9" t="s">
        <v>581</v>
      </c>
      <c r="D11" s="9" t="s">
        <v>582</v>
      </c>
      <c r="E11" s="9" t="s">
        <v>561</v>
      </c>
    </row>
    <row r="12" customFormat="false" ht="15" hidden="false" customHeight="false" outlineLevel="0" collapsed="false">
      <c r="A12" s="9" t="s">
        <v>117</v>
      </c>
      <c r="B12" s="9" t="s">
        <v>583</v>
      </c>
      <c r="C12" s="9" t="s">
        <v>584</v>
      </c>
      <c r="D12" s="9" t="s">
        <v>585</v>
      </c>
      <c r="E12" s="9" t="s">
        <v>586</v>
      </c>
    </row>
    <row r="13" customFormat="false" ht="15" hidden="false" customHeight="false" outlineLevel="0" collapsed="false">
      <c r="A13" s="14" t="s">
        <v>117</v>
      </c>
      <c r="B13" s="14" t="s">
        <v>587</v>
      </c>
      <c r="C13" s="14" t="s">
        <v>588</v>
      </c>
      <c r="D13" s="14" t="s">
        <v>589</v>
      </c>
      <c r="E13" s="14" t="s">
        <v>590</v>
      </c>
    </row>
    <row r="14" customFormat="false" ht="15" hidden="false" customHeight="false" outlineLevel="0" collapsed="false">
      <c r="A14" s="9" t="s">
        <v>117</v>
      </c>
      <c r="B14" s="9" t="s">
        <v>558</v>
      </c>
      <c r="C14" s="9" t="s">
        <v>559</v>
      </c>
      <c r="D14" s="9" t="s">
        <v>591</v>
      </c>
      <c r="E14" s="9" t="s">
        <v>561</v>
      </c>
    </row>
    <row r="15" customFormat="false" ht="15" hidden="false" customHeight="false" outlineLevel="0" collapsed="false">
      <c r="A15" s="9" t="s">
        <v>120</v>
      </c>
      <c r="B15" s="9" t="s">
        <v>583</v>
      </c>
      <c r="C15" s="9" t="s">
        <v>584</v>
      </c>
      <c r="D15" s="9" t="s">
        <v>585</v>
      </c>
      <c r="E15" s="9" t="s">
        <v>592</v>
      </c>
    </row>
    <row r="16" customFormat="false" ht="15" hidden="false" customHeight="false" outlineLevel="0" collapsed="false">
      <c r="A16" s="9" t="s">
        <v>120</v>
      </c>
      <c r="B16" s="9" t="s">
        <v>593</v>
      </c>
      <c r="C16" s="9" t="s">
        <v>559</v>
      </c>
      <c r="D16" s="9" t="s">
        <v>594</v>
      </c>
      <c r="E16" s="9" t="s">
        <v>592</v>
      </c>
    </row>
    <row r="17" customFormat="false" ht="15" hidden="false" customHeight="false" outlineLevel="0" collapsed="false">
      <c r="A17" s="9" t="s">
        <v>120</v>
      </c>
      <c r="B17" s="9" t="s">
        <v>587</v>
      </c>
      <c r="C17" s="9" t="s">
        <v>588</v>
      </c>
      <c r="D17" s="9" t="s">
        <v>595</v>
      </c>
      <c r="E17" s="9" t="s">
        <v>592</v>
      </c>
    </row>
    <row r="18" customFormat="false" ht="15" hidden="false" customHeight="false" outlineLevel="0" collapsed="false">
      <c r="A18" s="9" t="s">
        <v>123</v>
      </c>
      <c r="B18" s="9" t="s">
        <v>571</v>
      </c>
      <c r="C18" s="9" t="s">
        <v>559</v>
      </c>
      <c r="D18" s="9" t="s">
        <v>596</v>
      </c>
      <c r="E18" s="9" t="s">
        <v>561</v>
      </c>
    </row>
    <row r="19" customFormat="false" ht="15" hidden="false" customHeight="false" outlineLevel="0" collapsed="false">
      <c r="A19" s="9" t="s">
        <v>123</v>
      </c>
      <c r="B19" s="9" t="s">
        <v>597</v>
      </c>
      <c r="C19" s="9" t="s">
        <v>563</v>
      </c>
      <c r="D19" s="9" t="s">
        <v>598</v>
      </c>
      <c r="E19" s="9" t="s">
        <v>561</v>
      </c>
    </row>
    <row r="20" customFormat="false" ht="15" hidden="false" customHeight="false" outlineLevel="0" collapsed="false">
      <c r="A20" s="9" t="s">
        <v>123</v>
      </c>
      <c r="B20" s="9" t="s">
        <v>599</v>
      </c>
      <c r="C20" s="9" t="s">
        <v>567</v>
      </c>
      <c r="D20" s="9" t="s">
        <v>600</v>
      </c>
      <c r="E20" s="9" t="s">
        <v>561</v>
      </c>
    </row>
    <row r="21" customFormat="false" ht="15" hidden="false" customHeight="false" outlineLevel="0" collapsed="false">
      <c r="A21" s="9" t="s">
        <v>126</v>
      </c>
      <c r="B21" s="9" t="s">
        <v>558</v>
      </c>
      <c r="C21" s="9" t="s">
        <v>559</v>
      </c>
      <c r="D21" s="9" t="s">
        <v>601</v>
      </c>
      <c r="E21" s="9" t="s">
        <v>561</v>
      </c>
    </row>
    <row r="22" customFormat="false" ht="15" hidden="false" customHeight="false" outlineLevel="0" collapsed="false">
      <c r="A22" s="9" t="s">
        <v>126</v>
      </c>
      <c r="B22" s="9" t="s">
        <v>602</v>
      </c>
      <c r="C22" s="9" t="s">
        <v>603</v>
      </c>
      <c r="D22" s="9" t="s">
        <v>604</v>
      </c>
      <c r="E22" s="9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47"/>
  </cols>
  <sheetData>
    <row r="1" customFormat="false" ht="17.35" hidden="false" customHeight="false" outlineLevel="0" collapsed="false">
      <c r="A1" s="10" t="s">
        <v>605</v>
      </c>
    </row>
    <row r="3" customFormat="false" ht="15" hidden="false" customHeight="false" outlineLevel="0" collapsed="false">
      <c r="A3" s="11" t="s">
        <v>606</v>
      </c>
    </row>
    <row r="5" customFormat="false" ht="15" hidden="false" customHeight="false" outlineLevel="0" collapsed="false">
      <c r="A5" s="12" t="s">
        <v>607</v>
      </c>
      <c r="B5" s="12" t="s">
        <v>226</v>
      </c>
      <c r="C5" s="12" t="s">
        <v>608</v>
      </c>
      <c r="D5" s="12" t="s">
        <v>609</v>
      </c>
      <c r="E5" s="12" t="s">
        <v>610</v>
      </c>
      <c r="F5" s="12" t="s">
        <v>135</v>
      </c>
    </row>
    <row r="6" customFormat="false" ht="15" hidden="false" customHeight="false" outlineLevel="0" collapsed="false">
      <c r="A6" s="13" t="s">
        <v>611</v>
      </c>
      <c r="B6" s="13" t="s">
        <v>612</v>
      </c>
      <c r="C6" s="13" t="s">
        <v>613</v>
      </c>
      <c r="D6" s="13" t="s">
        <v>614</v>
      </c>
      <c r="E6" s="13" t="s">
        <v>615</v>
      </c>
      <c r="F6" s="13" t="s">
        <v>616</v>
      </c>
    </row>
    <row r="7" customFormat="false" ht="15" hidden="false" customHeight="false" outlineLevel="0" collapsed="false">
      <c r="A7" s="14" t="s">
        <v>617</v>
      </c>
      <c r="B7" s="14" t="s">
        <v>618</v>
      </c>
      <c r="C7" s="14" t="s">
        <v>619</v>
      </c>
      <c r="D7" s="14" t="s">
        <v>620</v>
      </c>
      <c r="E7" s="14" t="s">
        <v>615</v>
      </c>
      <c r="F7" s="14" t="s">
        <v>621</v>
      </c>
    </row>
    <row r="8" customFormat="false" ht="15" hidden="false" customHeight="false" outlineLevel="0" collapsed="false">
      <c r="A8" s="13" t="s">
        <v>622</v>
      </c>
      <c r="B8" s="13" t="s">
        <v>623</v>
      </c>
      <c r="C8" s="13" t="s">
        <v>624</v>
      </c>
      <c r="D8" s="13" t="s">
        <v>625</v>
      </c>
      <c r="E8" s="13" t="s">
        <v>626</v>
      </c>
      <c r="F8" s="13" t="s">
        <v>627</v>
      </c>
    </row>
    <row r="9" customFormat="false" ht="15" hidden="false" customHeight="false" outlineLevel="0" collapsed="false">
      <c r="A9" s="14" t="s">
        <v>628</v>
      </c>
      <c r="B9" s="14" t="s">
        <v>629</v>
      </c>
      <c r="C9" s="14" t="s">
        <v>624</v>
      </c>
      <c r="D9" s="14" t="s">
        <v>625</v>
      </c>
      <c r="E9" s="14" t="s">
        <v>626</v>
      </c>
      <c r="F9" s="14" t="s">
        <v>630</v>
      </c>
    </row>
    <row r="10" customFormat="false" ht="15" hidden="false" customHeight="false" outlineLevel="0" collapsed="false">
      <c r="A10" s="13" t="s">
        <v>631</v>
      </c>
      <c r="B10" s="13" t="s">
        <v>632</v>
      </c>
      <c r="C10" s="13" t="s">
        <v>633</v>
      </c>
      <c r="D10" s="13" t="s">
        <v>634</v>
      </c>
      <c r="E10" s="13" t="s">
        <v>626</v>
      </c>
      <c r="F10" s="13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5"/>
    <col collapsed="false" customWidth="true" hidden="false" outlineLevel="0" max="7" min="6" style="0" width="15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0" t="s">
        <v>636</v>
      </c>
    </row>
    <row r="2" customFormat="false" ht="15" hidden="false" customHeight="false" outlineLevel="0" collapsed="false">
      <c r="A2" s="11" t="s">
        <v>637</v>
      </c>
    </row>
    <row r="4" customFormat="false" ht="15" hidden="false" customHeight="false" outlineLevel="0" collapsed="false">
      <c r="A4" s="12" t="s">
        <v>638</v>
      </c>
      <c r="B4" s="12" t="s">
        <v>436</v>
      </c>
      <c r="C4" s="12" t="s">
        <v>29</v>
      </c>
      <c r="D4" s="12" t="s">
        <v>639</v>
      </c>
      <c r="E4" s="12" t="s">
        <v>640</v>
      </c>
      <c r="F4" s="12" t="s">
        <v>134</v>
      </c>
      <c r="G4" s="12" t="s">
        <v>641</v>
      </c>
      <c r="H4" s="12" t="s">
        <v>135</v>
      </c>
    </row>
    <row r="5" customFormat="false" ht="15" hidden="false" customHeight="false" outlineLevel="0" collapsed="false">
      <c r="A5" s="36" t="s">
        <v>183</v>
      </c>
      <c r="B5" s="36" t="s">
        <v>438</v>
      </c>
      <c r="C5" s="36" t="s">
        <v>31</v>
      </c>
      <c r="D5" s="36" t="s">
        <v>48</v>
      </c>
      <c r="E5" s="36" t="s">
        <v>642</v>
      </c>
      <c r="F5" s="36" t="s">
        <v>643</v>
      </c>
      <c r="G5" s="36" t="s">
        <v>253</v>
      </c>
      <c r="H5" s="36"/>
    </row>
    <row r="6" customFormat="false" ht="15" hidden="false" customHeight="false" outlineLevel="0" collapsed="false">
      <c r="A6" s="36" t="s">
        <v>439</v>
      </c>
      <c r="B6" s="36" t="s">
        <v>440</v>
      </c>
      <c r="C6" s="36" t="s">
        <v>31</v>
      </c>
      <c r="D6" s="36" t="s">
        <v>52</v>
      </c>
      <c r="E6" s="36" t="s">
        <v>644</v>
      </c>
      <c r="F6" s="36" t="s">
        <v>354</v>
      </c>
      <c r="G6" s="36" t="s">
        <v>253</v>
      </c>
      <c r="H6" s="36"/>
    </row>
    <row r="7" customFormat="false" ht="15" hidden="false" customHeight="false" outlineLevel="0" collapsed="false">
      <c r="A7" s="36" t="s">
        <v>22</v>
      </c>
      <c r="B7" s="36" t="s">
        <v>441</v>
      </c>
      <c r="C7" s="36" t="s">
        <v>31</v>
      </c>
      <c r="D7" s="36" t="s">
        <v>56</v>
      </c>
      <c r="E7" s="36" t="s">
        <v>644</v>
      </c>
      <c r="F7" s="36" t="s">
        <v>354</v>
      </c>
      <c r="G7" s="36" t="s">
        <v>253</v>
      </c>
      <c r="H7" s="36"/>
    </row>
    <row r="8" customFormat="false" ht="15" hidden="false" customHeight="false" outlineLevel="0" collapsed="false">
      <c r="A8" s="36" t="s">
        <v>442</v>
      </c>
      <c r="B8" s="36" t="s">
        <v>443</v>
      </c>
      <c r="C8" s="36" t="s">
        <v>31</v>
      </c>
      <c r="D8" s="36" t="s">
        <v>60</v>
      </c>
      <c r="E8" s="36" t="s">
        <v>644</v>
      </c>
      <c r="F8" s="36" t="s">
        <v>354</v>
      </c>
      <c r="G8" s="36" t="s">
        <v>253</v>
      </c>
      <c r="H8" s="36"/>
    </row>
    <row r="9" customFormat="false" ht="15" hidden="false" customHeight="false" outlineLevel="0" collapsed="false">
      <c r="A9" s="36" t="s">
        <v>444</v>
      </c>
      <c r="B9" s="36" t="s">
        <v>445</v>
      </c>
      <c r="C9" s="36" t="s">
        <v>31</v>
      </c>
      <c r="D9" s="36" t="s">
        <v>63</v>
      </c>
      <c r="E9" s="36" t="s">
        <v>644</v>
      </c>
      <c r="F9" s="36" t="s">
        <v>354</v>
      </c>
      <c r="G9" s="36" t="s">
        <v>253</v>
      </c>
      <c r="H9" s="36"/>
    </row>
    <row r="10" customFormat="false" ht="15" hidden="false" customHeight="false" outlineLevel="0" collapsed="false">
      <c r="A10" s="36" t="s">
        <v>446</v>
      </c>
      <c r="B10" s="36" t="s">
        <v>447</v>
      </c>
      <c r="C10" s="36" t="s">
        <v>31</v>
      </c>
      <c r="D10" s="36" t="s">
        <v>66</v>
      </c>
      <c r="E10" s="36" t="s">
        <v>644</v>
      </c>
      <c r="F10" s="36" t="s">
        <v>354</v>
      </c>
      <c r="G10" s="36" t="s">
        <v>253</v>
      </c>
      <c r="H10" s="36"/>
    </row>
    <row r="11" customFormat="false" ht="15" hidden="false" customHeight="false" outlineLevel="0" collapsed="false">
      <c r="A11" s="36" t="s">
        <v>448</v>
      </c>
      <c r="B11" s="36" t="s">
        <v>449</v>
      </c>
      <c r="C11" s="36" t="s">
        <v>31</v>
      </c>
      <c r="D11" s="36" t="s">
        <v>69</v>
      </c>
      <c r="E11" s="36" t="s">
        <v>644</v>
      </c>
      <c r="F11" s="36" t="s">
        <v>354</v>
      </c>
      <c r="G11" s="36" t="s">
        <v>253</v>
      </c>
      <c r="H11" s="36"/>
    </row>
    <row r="12" customFormat="false" ht="15" hidden="false" customHeight="false" outlineLevel="0" collapsed="false">
      <c r="A12" s="36" t="s">
        <v>136</v>
      </c>
      <c r="B12" s="36" t="s">
        <v>645</v>
      </c>
      <c r="C12" s="36" t="s">
        <v>31</v>
      </c>
      <c r="D12" s="36" t="s">
        <v>72</v>
      </c>
      <c r="E12" s="36" t="s">
        <v>646</v>
      </c>
      <c r="F12" s="36" t="s">
        <v>139</v>
      </c>
      <c r="G12" s="36" t="s">
        <v>253</v>
      </c>
      <c r="H12" s="36" t="s">
        <v>647</v>
      </c>
    </row>
    <row r="13" customFormat="false" ht="15" hidden="false" customHeight="false" outlineLevel="0" collapsed="false">
      <c r="A13" s="36" t="s">
        <v>141</v>
      </c>
      <c r="B13" s="36" t="s">
        <v>648</v>
      </c>
      <c r="C13" s="36" t="s">
        <v>31</v>
      </c>
      <c r="D13" s="36" t="s">
        <v>72</v>
      </c>
      <c r="E13" s="36" t="s">
        <v>646</v>
      </c>
      <c r="F13" s="36" t="s">
        <v>139</v>
      </c>
      <c r="G13" s="36" t="s">
        <v>253</v>
      </c>
      <c r="H13" s="36"/>
    </row>
    <row r="14" customFormat="false" ht="15" hidden="false" customHeight="false" outlineLevel="0" collapsed="false">
      <c r="A14" s="36" t="s">
        <v>145</v>
      </c>
      <c r="B14" s="36" t="s">
        <v>649</v>
      </c>
      <c r="C14" s="36" t="s">
        <v>31</v>
      </c>
      <c r="D14" s="36" t="s">
        <v>72</v>
      </c>
      <c r="E14" s="36" t="s">
        <v>650</v>
      </c>
      <c r="F14" s="36" t="s">
        <v>139</v>
      </c>
      <c r="G14" s="36" t="s">
        <v>253</v>
      </c>
      <c r="H14" s="36" t="s">
        <v>651</v>
      </c>
    </row>
    <row r="15" customFormat="false" ht="15" hidden="false" customHeight="false" outlineLevel="0" collapsed="false">
      <c r="A15" s="36" t="s">
        <v>149</v>
      </c>
      <c r="B15" s="36" t="s">
        <v>652</v>
      </c>
      <c r="C15" s="36" t="s">
        <v>31</v>
      </c>
      <c r="D15" s="36" t="s">
        <v>72</v>
      </c>
      <c r="E15" s="36" t="s">
        <v>650</v>
      </c>
      <c r="F15" s="36" t="s">
        <v>139</v>
      </c>
      <c r="G15" s="36" t="s">
        <v>253</v>
      </c>
      <c r="H15" s="36" t="s">
        <v>653</v>
      </c>
    </row>
    <row r="16" customFormat="false" ht="15" hidden="false" customHeight="false" outlineLevel="0" collapsed="false">
      <c r="A16" s="36" t="s">
        <v>152</v>
      </c>
      <c r="B16" s="36" t="s">
        <v>654</v>
      </c>
      <c r="C16" s="36" t="s">
        <v>31</v>
      </c>
      <c r="D16" s="36" t="s">
        <v>72</v>
      </c>
      <c r="E16" s="36" t="s">
        <v>650</v>
      </c>
      <c r="F16" s="36" t="s">
        <v>139</v>
      </c>
      <c r="G16" s="36" t="s">
        <v>253</v>
      </c>
      <c r="H16" s="36" t="s">
        <v>655</v>
      </c>
    </row>
    <row r="17" customFormat="false" ht="15" hidden="false" customHeight="false" outlineLevel="0" collapsed="false">
      <c r="A17" s="36" t="s">
        <v>155</v>
      </c>
      <c r="B17" s="36" t="s">
        <v>656</v>
      </c>
      <c r="C17" s="36" t="s">
        <v>31</v>
      </c>
      <c r="D17" s="36" t="s">
        <v>72</v>
      </c>
      <c r="E17" s="36" t="s">
        <v>650</v>
      </c>
      <c r="F17" s="36" t="s">
        <v>139</v>
      </c>
      <c r="G17" s="36" t="s">
        <v>253</v>
      </c>
      <c r="H17" s="36"/>
    </row>
    <row r="18" customFormat="false" ht="15" hidden="false" customHeight="false" outlineLevel="0" collapsed="false">
      <c r="A18" s="36" t="s">
        <v>159</v>
      </c>
      <c r="B18" s="36" t="s">
        <v>657</v>
      </c>
      <c r="C18" s="36" t="s">
        <v>31</v>
      </c>
      <c r="D18" s="36" t="s">
        <v>72</v>
      </c>
      <c r="E18" s="36" t="s">
        <v>650</v>
      </c>
      <c r="F18" s="36" t="s">
        <v>139</v>
      </c>
      <c r="G18" s="36" t="s">
        <v>253</v>
      </c>
      <c r="H18" s="36"/>
    </row>
    <row r="19" customFormat="false" ht="15" hidden="false" customHeight="false" outlineLevel="0" collapsed="false">
      <c r="A19" s="36" t="s">
        <v>162</v>
      </c>
      <c r="B19" s="36" t="s">
        <v>658</v>
      </c>
      <c r="C19" s="36" t="s">
        <v>31</v>
      </c>
      <c r="D19" s="36" t="s">
        <v>72</v>
      </c>
      <c r="E19" s="36" t="s">
        <v>650</v>
      </c>
      <c r="F19" s="36" t="s">
        <v>139</v>
      </c>
      <c r="G19" s="36" t="s">
        <v>253</v>
      </c>
      <c r="H19" s="36"/>
    </row>
    <row r="20" customFormat="false" ht="15" hidden="false" customHeight="false" outlineLevel="0" collapsed="false">
      <c r="A20" s="36" t="s">
        <v>165</v>
      </c>
      <c r="B20" s="36" t="s">
        <v>659</v>
      </c>
      <c r="C20" s="36" t="s">
        <v>31</v>
      </c>
      <c r="D20" s="36" t="s">
        <v>72</v>
      </c>
      <c r="E20" s="36" t="s">
        <v>650</v>
      </c>
      <c r="F20" s="36" t="s">
        <v>139</v>
      </c>
      <c r="G20" s="36" t="s">
        <v>253</v>
      </c>
      <c r="H20" s="36" t="s">
        <v>168</v>
      </c>
    </row>
    <row r="21" customFormat="false" ht="15" hidden="false" customHeight="false" outlineLevel="0" collapsed="false">
      <c r="A21" s="36" t="s">
        <v>169</v>
      </c>
      <c r="B21" s="36" t="s">
        <v>660</v>
      </c>
      <c r="C21" s="36" t="s">
        <v>31</v>
      </c>
      <c r="D21" s="36" t="s">
        <v>72</v>
      </c>
      <c r="E21" s="36" t="s">
        <v>650</v>
      </c>
      <c r="F21" s="36" t="s">
        <v>139</v>
      </c>
      <c r="G21" s="36" t="s">
        <v>253</v>
      </c>
      <c r="H21" s="36" t="s">
        <v>168</v>
      </c>
    </row>
    <row r="22" customFormat="false" ht="15" hidden="false" customHeight="false" outlineLevel="0" collapsed="false">
      <c r="A22" s="36" t="s">
        <v>172</v>
      </c>
      <c r="B22" s="36" t="s">
        <v>661</v>
      </c>
      <c r="C22" s="36" t="s">
        <v>31</v>
      </c>
      <c r="D22" s="36" t="s">
        <v>72</v>
      </c>
      <c r="E22" s="36" t="s">
        <v>650</v>
      </c>
      <c r="F22" s="36" t="s">
        <v>139</v>
      </c>
      <c r="G22" s="36" t="s">
        <v>253</v>
      </c>
      <c r="H22" s="36" t="s">
        <v>168</v>
      </c>
    </row>
    <row r="23" customFormat="false" ht="15" hidden="false" customHeight="false" outlineLevel="0" collapsed="false">
      <c r="A23" s="36" t="s">
        <v>175</v>
      </c>
      <c r="B23" s="36" t="s">
        <v>662</v>
      </c>
      <c r="C23" s="36" t="s">
        <v>34</v>
      </c>
      <c r="D23" s="36" t="s">
        <v>72</v>
      </c>
      <c r="E23" s="36" t="s">
        <v>646</v>
      </c>
      <c r="F23" s="36" t="s">
        <v>139</v>
      </c>
      <c r="G23" s="36" t="s">
        <v>253</v>
      </c>
      <c r="H23" s="36"/>
    </row>
    <row r="24" customFormat="false" ht="15" hidden="false" customHeight="false" outlineLevel="0" collapsed="false">
      <c r="A24" s="36" t="s">
        <v>179</v>
      </c>
      <c r="B24" s="36" t="s">
        <v>663</v>
      </c>
      <c r="C24" s="36" t="s">
        <v>34</v>
      </c>
      <c r="D24" s="36" t="s">
        <v>72</v>
      </c>
      <c r="E24" s="36" t="s">
        <v>650</v>
      </c>
      <c r="F24" s="36" t="s">
        <v>139</v>
      </c>
      <c r="G24" s="36" t="s">
        <v>253</v>
      </c>
      <c r="H24" s="36"/>
    </row>
    <row r="25" customFormat="false" ht="15" hidden="false" customHeight="false" outlineLevel="0" collapsed="false">
      <c r="A25" s="36" t="s">
        <v>186</v>
      </c>
      <c r="B25" s="36" t="s">
        <v>450</v>
      </c>
      <c r="C25" s="36" t="s">
        <v>34</v>
      </c>
      <c r="D25" s="36" t="s">
        <v>48</v>
      </c>
      <c r="E25" s="36" t="s">
        <v>642</v>
      </c>
      <c r="F25" s="36" t="s">
        <v>643</v>
      </c>
      <c r="G25" s="36" t="s">
        <v>253</v>
      </c>
      <c r="H25" s="36"/>
    </row>
    <row r="26" customFormat="false" ht="15" hidden="false" customHeight="false" outlineLevel="0" collapsed="false">
      <c r="A26" s="36" t="s">
        <v>451</v>
      </c>
      <c r="B26" s="36" t="s">
        <v>284</v>
      </c>
      <c r="C26" s="36" t="s">
        <v>34</v>
      </c>
      <c r="D26" s="36" t="s">
        <v>452</v>
      </c>
      <c r="E26" s="36" t="s">
        <v>644</v>
      </c>
      <c r="F26" s="36" t="s">
        <v>354</v>
      </c>
      <c r="G26" s="36" t="s">
        <v>253</v>
      </c>
      <c r="H26" s="36"/>
    </row>
    <row r="27" customFormat="false" ht="15" hidden="false" customHeight="false" outlineLevel="0" collapsed="false">
      <c r="A27" s="39" t="s">
        <v>351</v>
      </c>
      <c r="B27" s="39" t="s">
        <v>460</v>
      </c>
      <c r="C27" s="39" t="s">
        <v>36</v>
      </c>
      <c r="D27" s="39" t="s">
        <v>56</v>
      </c>
      <c r="E27" s="39" t="s">
        <v>664</v>
      </c>
      <c r="F27" s="39" t="s">
        <v>354</v>
      </c>
      <c r="G27" s="39" t="s">
        <v>665</v>
      </c>
      <c r="H27" s="39"/>
    </row>
    <row r="28" customFormat="false" ht="15" hidden="false" customHeight="false" outlineLevel="0" collapsed="false">
      <c r="A28" s="39" t="s">
        <v>356</v>
      </c>
      <c r="B28" s="39" t="s">
        <v>463</v>
      </c>
      <c r="C28" s="39" t="s">
        <v>36</v>
      </c>
      <c r="D28" s="39" t="s">
        <v>60</v>
      </c>
      <c r="E28" s="39" t="s">
        <v>664</v>
      </c>
      <c r="F28" s="39" t="s">
        <v>354</v>
      </c>
      <c r="G28" s="39" t="s">
        <v>665</v>
      </c>
      <c r="H28" s="39"/>
    </row>
    <row r="29" customFormat="false" ht="15" hidden="false" customHeight="false" outlineLevel="0" collapsed="false">
      <c r="A29" s="39" t="s">
        <v>359</v>
      </c>
      <c r="B29" s="39" t="s">
        <v>464</v>
      </c>
      <c r="C29" s="39" t="s">
        <v>36</v>
      </c>
      <c r="D29" s="39" t="s">
        <v>63</v>
      </c>
      <c r="E29" s="39" t="s">
        <v>664</v>
      </c>
      <c r="F29" s="39" t="s">
        <v>354</v>
      </c>
      <c r="G29" s="39" t="s">
        <v>665</v>
      </c>
      <c r="H29" s="39"/>
    </row>
    <row r="30" customFormat="false" ht="15" hidden="false" customHeight="false" outlineLevel="0" collapsed="false">
      <c r="A30" s="39" t="s">
        <v>362</v>
      </c>
      <c r="B30" s="39" t="s">
        <v>465</v>
      </c>
      <c r="C30" s="39" t="s">
        <v>36</v>
      </c>
      <c r="D30" s="39" t="s">
        <v>56</v>
      </c>
      <c r="E30" s="39" t="s">
        <v>664</v>
      </c>
      <c r="F30" s="39" t="s">
        <v>354</v>
      </c>
      <c r="G30" s="39" t="s">
        <v>665</v>
      </c>
      <c r="H30" s="39"/>
    </row>
    <row r="31" customFormat="false" ht="15" hidden="false" customHeight="false" outlineLevel="0" collapsed="false">
      <c r="A31" s="39" t="s">
        <v>365</v>
      </c>
      <c r="B31" s="39" t="s">
        <v>468</v>
      </c>
      <c r="C31" s="39" t="s">
        <v>36</v>
      </c>
      <c r="D31" s="39" t="s">
        <v>60</v>
      </c>
      <c r="E31" s="39" t="s">
        <v>664</v>
      </c>
      <c r="F31" s="39" t="s">
        <v>354</v>
      </c>
      <c r="G31" s="39" t="s">
        <v>665</v>
      </c>
      <c r="H31" s="39"/>
    </row>
    <row r="32" customFormat="false" ht="15" hidden="false" customHeight="false" outlineLevel="0" collapsed="false">
      <c r="A32" s="39" t="s">
        <v>368</v>
      </c>
      <c r="B32" s="39" t="s">
        <v>469</v>
      </c>
      <c r="C32" s="39" t="s">
        <v>36</v>
      </c>
      <c r="D32" s="39" t="s">
        <v>63</v>
      </c>
      <c r="E32" s="39" t="s">
        <v>664</v>
      </c>
      <c r="F32" s="39" t="s">
        <v>354</v>
      </c>
      <c r="G32" s="39" t="s">
        <v>665</v>
      </c>
      <c r="H32" s="39"/>
    </row>
    <row r="33" customFormat="false" ht="15" hidden="false" customHeight="false" outlineLevel="0" collapsed="false">
      <c r="A33" s="39" t="s">
        <v>371</v>
      </c>
      <c r="B33" s="39" t="s">
        <v>470</v>
      </c>
      <c r="C33" s="39" t="s">
        <v>36</v>
      </c>
      <c r="D33" s="39" t="s">
        <v>56</v>
      </c>
      <c r="E33" s="39" t="s">
        <v>664</v>
      </c>
      <c r="F33" s="39" t="s">
        <v>354</v>
      </c>
      <c r="G33" s="39" t="s">
        <v>665</v>
      </c>
      <c r="H33" s="39"/>
    </row>
    <row r="34" customFormat="false" ht="15" hidden="false" customHeight="false" outlineLevel="0" collapsed="false">
      <c r="A34" s="39" t="s">
        <v>374</v>
      </c>
      <c r="B34" s="39" t="s">
        <v>473</v>
      </c>
      <c r="C34" s="39" t="s">
        <v>36</v>
      </c>
      <c r="D34" s="39" t="s">
        <v>60</v>
      </c>
      <c r="E34" s="39" t="s">
        <v>664</v>
      </c>
      <c r="F34" s="39" t="s">
        <v>354</v>
      </c>
      <c r="G34" s="39" t="s">
        <v>665</v>
      </c>
      <c r="H34" s="39"/>
    </row>
    <row r="35" customFormat="false" ht="15" hidden="false" customHeight="false" outlineLevel="0" collapsed="false">
      <c r="A35" s="39" t="s">
        <v>474</v>
      </c>
      <c r="B35" s="39" t="s">
        <v>475</v>
      </c>
      <c r="C35" s="39" t="s">
        <v>36</v>
      </c>
      <c r="D35" s="39" t="s">
        <v>63</v>
      </c>
      <c r="E35" s="39" t="s">
        <v>664</v>
      </c>
      <c r="F35" s="39" t="s">
        <v>354</v>
      </c>
      <c r="G35" s="39" t="s">
        <v>665</v>
      </c>
      <c r="H35" s="39"/>
    </row>
    <row r="36" customFormat="false" ht="15" hidden="false" customHeight="false" outlineLevel="0" collapsed="false">
      <c r="A36" s="39" t="s">
        <v>377</v>
      </c>
      <c r="B36" s="39" t="s">
        <v>476</v>
      </c>
      <c r="C36" s="39" t="s">
        <v>36</v>
      </c>
      <c r="D36" s="39" t="s">
        <v>56</v>
      </c>
      <c r="E36" s="39" t="s">
        <v>664</v>
      </c>
      <c r="F36" s="39" t="s">
        <v>354</v>
      </c>
      <c r="G36" s="39" t="s">
        <v>665</v>
      </c>
      <c r="H36" s="39"/>
    </row>
    <row r="37" customFormat="false" ht="15" hidden="false" customHeight="false" outlineLevel="0" collapsed="false">
      <c r="A37" s="39" t="s">
        <v>380</v>
      </c>
      <c r="B37" s="39" t="s">
        <v>479</v>
      </c>
      <c r="C37" s="39" t="s">
        <v>36</v>
      </c>
      <c r="D37" s="39" t="s">
        <v>60</v>
      </c>
      <c r="E37" s="39" t="s">
        <v>664</v>
      </c>
      <c r="F37" s="39" t="s">
        <v>354</v>
      </c>
      <c r="G37" s="39" t="s">
        <v>665</v>
      </c>
      <c r="H37" s="39"/>
    </row>
    <row r="38" customFormat="false" ht="15" hidden="false" customHeight="false" outlineLevel="0" collapsed="false">
      <c r="A38" s="39" t="s">
        <v>480</v>
      </c>
      <c r="B38" s="39" t="s">
        <v>481</v>
      </c>
      <c r="C38" s="39" t="s">
        <v>36</v>
      </c>
      <c r="D38" s="39" t="s">
        <v>63</v>
      </c>
      <c r="E38" s="39" t="s">
        <v>664</v>
      </c>
      <c r="F38" s="39" t="s">
        <v>354</v>
      </c>
      <c r="G38" s="39" t="s">
        <v>665</v>
      </c>
      <c r="H38" s="39"/>
    </row>
    <row r="39" customFormat="false" ht="15" hidden="false" customHeight="false" outlineLevel="0" collapsed="false">
      <c r="A39" s="27" t="s">
        <v>189</v>
      </c>
      <c r="B39" s="27" t="s">
        <v>483</v>
      </c>
      <c r="C39" s="27" t="s">
        <v>39</v>
      </c>
      <c r="D39" s="27" t="s">
        <v>454</v>
      </c>
      <c r="E39" s="27" t="s">
        <v>666</v>
      </c>
      <c r="F39" s="27" t="s">
        <v>643</v>
      </c>
      <c r="G39" s="27" t="s">
        <v>253</v>
      </c>
      <c r="H39" s="27" t="s">
        <v>667</v>
      </c>
    </row>
    <row r="40" customFormat="false" ht="15" hidden="false" customHeight="false" outlineLevel="0" collapsed="false">
      <c r="A40" s="27" t="s">
        <v>383</v>
      </c>
      <c r="B40" s="27" t="s">
        <v>384</v>
      </c>
      <c r="C40" s="27" t="s">
        <v>39</v>
      </c>
      <c r="D40" s="27" t="s">
        <v>454</v>
      </c>
      <c r="E40" s="27" t="s">
        <v>664</v>
      </c>
      <c r="F40" s="27" t="s">
        <v>354</v>
      </c>
      <c r="G40" s="27" t="s">
        <v>253</v>
      </c>
      <c r="H40" s="27" t="s">
        <v>668</v>
      </c>
    </row>
    <row r="41" customFormat="false" ht="15" hidden="false" customHeight="false" outlineLevel="0" collapsed="false">
      <c r="A41" s="27" t="s">
        <v>386</v>
      </c>
      <c r="B41" s="27" t="s">
        <v>387</v>
      </c>
      <c r="C41" s="27" t="s">
        <v>39</v>
      </c>
      <c r="D41" s="27" t="s">
        <v>454</v>
      </c>
      <c r="E41" s="27" t="s">
        <v>664</v>
      </c>
      <c r="F41" s="27" t="s">
        <v>354</v>
      </c>
      <c r="G41" s="27" t="s">
        <v>253</v>
      </c>
      <c r="H41" s="27"/>
    </row>
    <row r="42" customFormat="false" ht="15" hidden="false" customHeight="false" outlineLevel="0" collapsed="false">
      <c r="A42" s="27" t="s">
        <v>389</v>
      </c>
      <c r="B42" s="27" t="s">
        <v>390</v>
      </c>
      <c r="C42" s="27" t="s">
        <v>39</v>
      </c>
      <c r="D42" s="27" t="s">
        <v>454</v>
      </c>
      <c r="E42" s="27" t="s">
        <v>666</v>
      </c>
      <c r="F42" s="27" t="s">
        <v>643</v>
      </c>
      <c r="G42" s="27" t="s">
        <v>253</v>
      </c>
      <c r="H42" s="27"/>
    </row>
    <row r="43" customFormat="false" ht="15" hidden="false" customHeight="false" outlineLevel="0" collapsed="false">
      <c r="A43" s="27" t="s">
        <v>392</v>
      </c>
      <c r="B43" s="27" t="s">
        <v>393</v>
      </c>
      <c r="C43" s="27" t="s">
        <v>39</v>
      </c>
      <c r="D43" s="27" t="s">
        <v>454</v>
      </c>
      <c r="E43" s="27" t="s">
        <v>664</v>
      </c>
      <c r="F43" s="27" t="s">
        <v>354</v>
      </c>
      <c r="G43" s="27" t="s">
        <v>253</v>
      </c>
      <c r="H43" s="27"/>
    </row>
    <row r="44" customFormat="false" ht="15" hidden="false" customHeight="false" outlineLevel="0" collapsed="false">
      <c r="A44" s="27" t="s">
        <v>395</v>
      </c>
      <c r="B44" s="27" t="s">
        <v>396</v>
      </c>
      <c r="C44" s="27" t="s">
        <v>39</v>
      </c>
      <c r="D44" s="27" t="s">
        <v>454</v>
      </c>
      <c r="E44" s="27" t="s">
        <v>664</v>
      </c>
      <c r="F44" s="27" t="s">
        <v>354</v>
      </c>
      <c r="G44" s="27" t="s">
        <v>253</v>
      </c>
      <c r="H44" s="27"/>
    </row>
    <row r="45" customFormat="false" ht="15" hidden="false" customHeight="false" outlineLevel="0" collapsed="false">
      <c r="A45" s="27" t="s">
        <v>398</v>
      </c>
      <c r="B45" s="27" t="s">
        <v>399</v>
      </c>
      <c r="C45" s="27" t="s">
        <v>39</v>
      </c>
      <c r="D45" s="27" t="s">
        <v>454</v>
      </c>
      <c r="E45" s="27" t="s">
        <v>664</v>
      </c>
      <c r="F45" s="27" t="s">
        <v>354</v>
      </c>
      <c r="G45" s="27" t="s">
        <v>253</v>
      </c>
      <c r="H45" s="27"/>
    </row>
    <row r="46" customFormat="false" ht="15" hidden="false" customHeight="false" outlineLevel="0" collapsed="false">
      <c r="A46" s="27" t="s">
        <v>219</v>
      </c>
      <c r="B46" s="27" t="s">
        <v>297</v>
      </c>
      <c r="C46" s="27" t="s">
        <v>39</v>
      </c>
      <c r="D46" s="27" t="s">
        <v>454</v>
      </c>
      <c r="E46" s="27" t="s">
        <v>666</v>
      </c>
      <c r="F46" s="27" t="s">
        <v>643</v>
      </c>
      <c r="G46" s="27" t="s">
        <v>253</v>
      </c>
      <c r="H46" s="27"/>
    </row>
    <row r="47" customFormat="false" ht="15" hidden="false" customHeight="false" outlineLevel="0" collapsed="false">
      <c r="A47" s="27" t="s">
        <v>201</v>
      </c>
      <c r="B47" s="27" t="s">
        <v>291</v>
      </c>
      <c r="C47" s="27" t="s">
        <v>39</v>
      </c>
      <c r="D47" s="27" t="s">
        <v>454</v>
      </c>
      <c r="E47" s="27" t="s">
        <v>666</v>
      </c>
      <c r="F47" s="27" t="s">
        <v>643</v>
      </c>
      <c r="G47" s="27" t="s">
        <v>253</v>
      </c>
      <c r="H47" s="27" t="s">
        <v>669</v>
      </c>
    </row>
    <row r="48" customFormat="false" ht="15" hidden="false" customHeight="false" outlineLevel="0" collapsed="false">
      <c r="A48" s="9" t="s">
        <v>193</v>
      </c>
      <c r="B48" s="9" t="s">
        <v>289</v>
      </c>
      <c r="C48" s="9" t="s">
        <v>41</v>
      </c>
      <c r="D48" s="9" t="s">
        <v>454</v>
      </c>
      <c r="E48" s="9" t="s">
        <v>666</v>
      </c>
      <c r="F48" s="9" t="s">
        <v>643</v>
      </c>
      <c r="G48" s="9" t="s">
        <v>253</v>
      </c>
      <c r="H48" s="9" t="s">
        <v>670</v>
      </c>
    </row>
    <row r="49" customFormat="false" ht="15" hidden="false" customHeight="false" outlineLevel="0" collapsed="false">
      <c r="A49" s="9" t="s">
        <v>197</v>
      </c>
      <c r="B49" s="9" t="s">
        <v>671</v>
      </c>
      <c r="C49" s="9" t="s">
        <v>41</v>
      </c>
      <c r="D49" s="9" t="s">
        <v>454</v>
      </c>
      <c r="E49" s="9" t="s">
        <v>650</v>
      </c>
      <c r="F49" s="9" t="s">
        <v>139</v>
      </c>
      <c r="G49" s="9" t="s">
        <v>253</v>
      </c>
      <c r="H49" s="9"/>
    </row>
    <row r="50" customFormat="false" ht="15" hidden="false" customHeight="false" outlineLevel="0" collapsed="false">
      <c r="A50" s="9" t="s">
        <v>206</v>
      </c>
      <c r="B50" s="9" t="s">
        <v>401</v>
      </c>
      <c r="C50" s="9" t="s">
        <v>41</v>
      </c>
      <c r="D50" s="9" t="s">
        <v>454</v>
      </c>
      <c r="E50" s="9" t="s">
        <v>666</v>
      </c>
      <c r="F50" s="9" t="s">
        <v>643</v>
      </c>
      <c r="G50" s="9" t="s">
        <v>253</v>
      </c>
      <c r="H50" s="9"/>
    </row>
    <row r="51" customFormat="false" ht="15" hidden="false" customHeight="false" outlineLevel="0" collapsed="false">
      <c r="A51" s="9" t="s">
        <v>209</v>
      </c>
      <c r="B51" s="9" t="s">
        <v>403</v>
      </c>
      <c r="C51" s="9" t="s">
        <v>41</v>
      </c>
      <c r="D51" s="9" t="s">
        <v>454</v>
      </c>
      <c r="E51" s="9" t="s">
        <v>666</v>
      </c>
      <c r="F51" s="9" t="s">
        <v>643</v>
      </c>
      <c r="G51" s="9" t="s">
        <v>253</v>
      </c>
      <c r="H51" s="9"/>
    </row>
    <row r="52" customFormat="false" ht="15" hidden="false" customHeight="false" outlineLevel="0" collapsed="false">
      <c r="A52" s="9" t="s">
        <v>491</v>
      </c>
      <c r="B52" s="9" t="s">
        <v>492</v>
      </c>
      <c r="C52" s="9" t="s">
        <v>41</v>
      </c>
      <c r="D52" s="9" t="s">
        <v>454</v>
      </c>
      <c r="E52" s="9" t="s">
        <v>664</v>
      </c>
      <c r="F52" s="9" t="s">
        <v>354</v>
      </c>
      <c r="G52" s="9" t="s">
        <v>253</v>
      </c>
      <c r="H52" s="9"/>
    </row>
    <row r="53" customFormat="false" ht="15" hidden="false" customHeight="false" outlineLevel="0" collapsed="false">
      <c r="A53" s="9" t="s">
        <v>212</v>
      </c>
      <c r="B53" s="9" t="s">
        <v>295</v>
      </c>
      <c r="C53" s="9" t="s">
        <v>41</v>
      </c>
      <c r="D53" s="9" t="s">
        <v>454</v>
      </c>
      <c r="E53" s="9" t="s">
        <v>666</v>
      </c>
      <c r="F53" s="9" t="s">
        <v>643</v>
      </c>
      <c r="G53" s="9" t="s">
        <v>253</v>
      </c>
      <c r="H53" s="9"/>
    </row>
    <row r="54" customFormat="false" ht="15" hidden="false" customHeight="false" outlineLevel="0" collapsed="false">
      <c r="A54" s="9" t="s">
        <v>494</v>
      </c>
      <c r="B54" s="9" t="s">
        <v>495</v>
      </c>
      <c r="C54" s="9" t="s">
        <v>41</v>
      </c>
      <c r="D54" s="9" t="s">
        <v>454</v>
      </c>
      <c r="E54" s="9" t="s">
        <v>644</v>
      </c>
      <c r="F54" s="9" t="s">
        <v>354</v>
      </c>
      <c r="G54" s="9" t="s">
        <v>253</v>
      </c>
      <c r="H54" s="9"/>
    </row>
    <row r="57" customFormat="false" ht="15" hidden="false" customHeight="false" outlineLevel="0" collapsed="false">
      <c r="A57" s="15" t="s">
        <v>672</v>
      </c>
    </row>
    <row r="58" customFormat="false" ht="15" hidden="false" customHeight="false" outlineLevel="0" collapsed="false">
      <c r="A58" s="16" t="s">
        <v>673</v>
      </c>
      <c r="B58" s="26" t="n">
        <f aca="false">COUNTA(A5:A54)</f>
        <v>50</v>
      </c>
    </row>
    <row r="59" customFormat="false" ht="15" hidden="false" customHeight="false" outlineLevel="0" collapsed="false">
      <c r="A59" s="16" t="s">
        <v>674</v>
      </c>
      <c r="B59" s="26" t="n">
        <f aca="false">COUNTIF(C5:C54,"IND")</f>
        <v>18</v>
      </c>
    </row>
    <row r="60" customFormat="false" ht="15" hidden="false" customHeight="false" outlineLevel="0" collapsed="false">
      <c r="A60" s="16" t="s">
        <v>675</v>
      </c>
      <c r="B60" s="26" t="n">
        <f aca="false">COUNTIF(C5:C54,"COM")</f>
        <v>4</v>
      </c>
    </row>
    <row r="61" customFormat="false" ht="15" hidden="false" customHeight="false" outlineLevel="0" collapsed="false">
      <c r="A61" s="16" t="s">
        <v>676</v>
      </c>
      <c r="B61" s="26" t="n">
        <f aca="false">COUNTIF(C5:C54,"URN")</f>
        <v>12</v>
      </c>
    </row>
    <row r="62" customFormat="false" ht="15" hidden="false" customHeight="false" outlineLevel="0" collapsed="false">
      <c r="A62" s="16" t="s">
        <v>677</v>
      </c>
      <c r="B62" s="26" t="n">
        <f aca="false">COUNTIF(C5:C54,"MEM")</f>
        <v>9</v>
      </c>
    </row>
    <row r="63" customFormat="false" ht="15" hidden="false" customHeight="false" outlineLevel="0" collapsed="false">
      <c r="A63" s="16" t="s">
        <v>678</v>
      </c>
      <c r="B63" s="26" t="n">
        <f aca="false">COUNTIF(C5:C54,"SVC")</f>
        <v>7</v>
      </c>
    </row>
    <row r="65" customFormat="false" ht="15" hidden="false" customHeight="false" outlineLevel="0" collapsed="false">
      <c r="A65" s="15" t="s">
        <v>679</v>
      </c>
    </row>
    <row r="66" customFormat="false" ht="15" hidden="false" customHeight="false" outlineLevel="0" collapsed="false">
      <c r="A66" s="11" t="s">
        <v>680</v>
      </c>
    </row>
    <row r="67" customFormat="false" ht="15" hidden="false" customHeight="false" outlineLevel="0" collapsed="false">
      <c r="A67" s="3" t="s">
        <v>650</v>
      </c>
      <c r="B67" s="3" t="s">
        <v>252</v>
      </c>
      <c r="C67" s="3" t="s">
        <v>681</v>
      </c>
      <c r="D67" s="3" t="s">
        <v>682</v>
      </c>
      <c r="E67" s="3" t="s">
        <v>683</v>
      </c>
    </row>
    <row r="68" customFormat="false" ht="15" hidden="false" customHeight="false" outlineLevel="0" collapsed="false">
      <c r="A68" s="40" t="s">
        <v>254</v>
      </c>
      <c r="B68" s="40" t="s">
        <v>136</v>
      </c>
      <c r="C68" s="40" t="s">
        <v>242</v>
      </c>
      <c r="D68" s="40" t="s">
        <v>241</v>
      </c>
      <c r="E68" s="40" t="s">
        <v>684</v>
      </c>
    </row>
    <row r="69" customFormat="false" ht="15" hidden="false" customHeight="false" outlineLevel="0" collapsed="false">
      <c r="A69" s="40" t="s">
        <v>254</v>
      </c>
      <c r="B69" s="40" t="s">
        <v>145</v>
      </c>
      <c r="C69" s="40" t="s">
        <v>685</v>
      </c>
      <c r="D69" s="40" t="s">
        <v>686</v>
      </c>
      <c r="E69" s="40" t="s">
        <v>687</v>
      </c>
    </row>
    <row r="70" customFormat="false" ht="15" hidden="false" customHeight="false" outlineLevel="0" collapsed="false">
      <c r="A70" s="40" t="s">
        <v>254</v>
      </c>
      <c r="B70" s="40" t="s">
        <v>149</v>
      </c>
      <c r="C70" s="40" t="s">
        <v>25</v>
      </c>
      <c r="D70" s="40" t="s">
        <v>688</v>
      </c>
      <c r="E70" s="40" t="s">
        <v>689</v>
      </c>
    </row>
    <row r="71" customFormat="false" ht="15" hidden="false" customHeight="false" outlineLevel="0" collapsed="false">
      <c r="A71" s="40" t="s">
        <v>254</v>
      </c>
      <c r="B71" s="40" t="s">
        <v>152</v>
      </c>
      <c r="C71" s="40" t="s">
        <v>690</v>
      </c>
      <c r="D71" s="40" t="s">
        <v>691</v>
      </c>
      <c r="E71" s="40" t="s">
        <v>689</v>
      </c>
    </row>
    <row r="72" customFormat="false" ht="15" hidden="false" customHeight="false" outlineLevel="0" collapsed="false">
      <c r="A72" s="41" t="s">
        <v>255</v>
      </c>
      <c r="B72" s="41" t="s">
        <v>136</v>
      </c>
      <c r="C72" s="41" t="s">
        <v>692</v>
      </c>
      <c r="D72" s="41" t="s">
        <v>693</v>
      </c>
      <c r="E72" s="41" t="s">
        <v>694</v>
      </c>
    </row>
    <row r="73" customFormat="false" ht="15" hidden="false" customHeight="false" outlineLevel="0" collapsed="false">
      <c r="A73" s="41" t="s">
        <v>255</v>
      </c>
      <c r="B73" s="41" t="s">
        <v>175</v>
      </c>
      <c r="C73" s="41" t="s">
        <v>695</v>
      </c>
      <c r="D73" s="41" t="s">
        <v>696</v>
      </c>
      <c r="E73" s="41" t="s"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2026-03-01T21:48:55Z</dcterms:created>
  <dc:creator>openpyxl</dc:creator>
  <dc:description/>
  <dc:language>en-US</dc:language>
  <cp:lastModifiedBy/>
  <dcterms:modified xsi:type="dcterms:W3CDTF">2026-03-01T21:48:55Z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